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cbowen/Documents/Clinical Efficiency/MRI Workflow/Isabella-Project/"/>
    </mc:Choice>
  </mc:AlternateContent>
  <xr:revisionPtr revIDLastSave="0" documentId="13_ncr:1_{81B2499D-33B0-8F4D-8B1D-66076D65380F}" xr6:coauthVersionLast="47" xr6:coauthVersionMax="47" xr10:uidLastSave="{00000000-0000-0000-0000-000000000000}"/>
  <bookViews>
    <workbookView xWindow="720" yWindow="760" windowWidth="30460" windowHeight="19700" activeTab="3" xr2:uid="{00000000-000D-0000-FFFF-FFFF00000000}"/>
  </bookViews>
  <sheets>
    <sheet name="Sheet1" sheetId="1" r:id="rId1"/>
    <sheet name="Sheet2" sheetId="2" r:id="rId2"/>
    <sheet name="Stat Calcs" sheetId="3" r:id="rId3"/>
    <sheet name="Stat Summ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0" i="3" l="1"/>
  <c r="J110" i="3"/>
  <c r="I110" i="3"/>
  <c r="H110" i="3"/>
  <c r="H121" i="3"/>
  <c r="I121" i="3"/>
  <c r="J121" i="3"/>
  <c r="K121" i="3"/>
  <c r="K130" i="3"/>
  <c r="J130" i="3"/>
  <c r="I130" i="3"/>
  <c r="H130" i="3"/>
  <c r="K135" i="3"/>
  <c r="J135" i="3"/>
  <c r="I135" i="3"/>
  <c r="H135" i="3"/>
  <c r="H162" i="3"/>
  <c r="H156" i="3"/>
  <c r="H149" i="3"/>
  <c r="K149" i="3"/>
  <c r="J149" i="3"/>
  <c r="I149" i="3"/>
  <c r="K156" i="3"/>
  <c r="J156" i="3"/>
  <c r="I156" i="3"/>
  <c r="K162" i="3"/>
  <c r="J162" i="3"/>
  <c r="I162" i="3"/>
  <c r="K85" i="3"/>
  <c r="J85" i="3"/>
  <c r="I85" i="3"/>
  <c r="H85" i="3"/>
  <c r="K143" i="3"/>
  <c r="J143" i="3"/>
  <c r="I143" i="3"/>
  <c r="H143" i="3"/>
  <c r="K108" i="3"/>
  <c r="J108" i="3"/>
  <c r="I108" i="3"/>
  <c r="H108" i="3"/>
  <c r="K100" i="3"/>
  <c r="J100" i="3"/>
  <c r="I100" i="3"/>
  <c r="H100" i="3"/>
  <c r="K87" i="3"/>
  <c r="J87" i="3"/>
  <c r="I87" i="3"/>
  <c r="H87" i="3"/>
  <c r="K83" i="3"/>
  <c r="J83" i="3"/>
  <c r="I83" i="3"/>
  <c r="H83" i="3"/>
  <c r="K74" i="3"/>
  <c r="J74" i="3"/>
  <c r="I74" i="3"/>
  <c r="H74" i="3"/>
  <c r="K60" i="3"/>
  <c r="J60" i="3"/>
  <c r="I60" i="3"/>
  <c r="H60" i="3"/>
  <c r="K53" i="3"/>
  <c r="J53" i="3"/>
  <c r="I53" i="3"/>
  <c r="H53" i="3"/>
  <c r="H40" i="3"/>
  <c r="H32" i="3"/>
  <c r="H21" i="3"/>
  <c r="H9" i="3"/>
  <c r="H2" i="3"/>
  <c r="K40" i="3"/>
  <c r="J40" i="3"/>
  <c r="I40" i="3"/>
  <c r="I32" i="3"/>
  <c r="K32" i="3"/>
  <c r="J32" i="3"/>
  <c r="K21" i="3"/>
  <c r="J21" i="3"/>
  <c r="I21" i="3"/>
  <c r="K9" i="3"/>
  <c r="J9" i="3"/>
  <c r="I9" i="3"/>
  <c r="K2" i="3"/>
  <c r="J2" i="3"/>
  <c r="I2" i="3"/>
</calcChain>
</file>

<file path=xl/sharedStrings.xml><?xml version="1.0" encoding="utf-8"?>
<sst xmlns="http://schemas.openxmlformats.org/spreadsheetml/2006/main" count="529" uniqueCount="193">
  <si>
    <t>Column 1</t>
  </si>
  <si>
    <t>Task</t>
  </si>
  <si>
    <t>Space Occupied</t>
  </si>
  <si>
    <t>Role</t>
  </si>
  <si>
    <t>Support Role</t>
  </si>
  <si>
    <t>Time to Complete Task</t>
  </si>
  <si>
    <t xml:space="preserve">Probability of Action </t>
  </si>
  <si>
    <t>1</t>
  </si>
  <si>
    <t>Manage oupatients ready for appointment</t>
  </si>
  <si>
    <t>TA office</t>
  </si>
  <si>
    <t>TA</t>
  </si>
  <si>
    <t>Back Up Tech</t>
  </si>
  <si>
    <t>Variable/constant</t>
  </si>
  <si>
    <t>2</t>
  </si>
  <si>
    <t>Patient registration detected (PPF or WLM Dicom scanner)</t>
  </si>
  <si>
    <t>3</t>
  </si>
  <si>
    <t>Scan tech/TA notify of patient arrival</t>
  </si>
  <si>
    <t>TA, Scan Tech</t>
  </si>
  <si>
    <t>Porter</t>
  </si>
  <si>
    <t>4</t>
  </si>
  <si>
    <t>Patient fills out safety screening form</t>
  </si>
  <si>
    <t>Zone 1</t>
  </si>
  <si>
    <t>None</t>
  </si>
  <si>
    <t>3m 33 s</t>
  </si>
  <si>
    <t>5</t>
  </si>
  <si>
    <t>Patient escorted to zone 2 waiting with directions to change</t>
  </si>
  <si>
    <t>Zone 2</t>
  </si>
  <si>
    <t>1m 7s</t>
  </si>
  <si>
    <t>6</t>
  </si>
  <si>
    <t xml:space="preserve">Start Millenium </t>
  </si>
  <si>
    <t>variable/constant</t>
  </si>
  <si>
    <t>7</t>
  </si>
  <si>
    <t>Patient changes</t>
  </si>
  <si>
    <t>Zone 2 change room</t>
  </si>
  <si>
    <t>3m 38s</t>
  </si>
  <si>
    <t>8</t>
  </si>
  <si>
    <t xml:space="preserve">Patient washroom </t>
  </si>
  <si>
    <t>Zone 2 washroom</t>
  </si>
  <si>
    <t>2m 30s</t>
  </si>
  <si>
    <t>9</t>
  </si>
  <si>
    <t>Patient stores personal belongings</t>
  </si>
  <si>
    <t>Zone 2 lockers</t>
  </si>
  <si>
    <t>25.2s</t>
  </si>
  <si>
    <t>10</t>
  </si>
  <si>
    <t>Patient changed and form checked and moved to  prep room</t>
  </si>
  <si>
    <t>Zone 2 waiting</t>
  </si>
  <si>
    <t>Scan Tech</t>
  </si>
  <si>
    <t>16s</t>
  </si>
  <si>
    <t>11</t>
  </si>
  <si>
    <t>Patient interview (safety, process to expect)</t>
  </si>
  <si>
    <t>Prep room 1or 2</t>
  </si>
  <si>
    <t>3m 16s</t>
  </si>
  <si>
    <t>a</t>
  </si>
  <si>
    <t xml:space="preserve">Patient complicated device lookup </t>
  </si>
  <si>
    <t>??</t>
  </si>
  <si>
    <t>12</t>
  </si>
  <si>
    <t>Patient IV setup</t>
  </si>
  <si>
    <t>2m 20s</t>
  </si>
  <si>
    <t>Patient injected in prep room</t>
  </si>
  <si>
    <t>b</t>
  </si>
  <si>
    <t>Difficult IV</t>
  </si>
  <si>
    <t xml:space="preserve">1: 7m 48s </t>
  </si>
  <si>
    <t>13</t>
  </si>
  <si>
    <t>Patient brough to scan room and setup</t>
  </si>
  <si>
    <t>Zone 2 &amp; 3</t>
  </si>
  <si>
    <t>4m 43s</t>
  </si>
  <si>
    <t>TOTAL TIME IN ZONE II</t>
  </si>
  <si>
    <t>18m 48s</t>
  </si>
  <si>
    <t>Patient IV setup in scan room</t>
  </si>
  <si>
    <t xml:space="preserve">Zone 3 </t>
  </si>
  <si>
    <t>1: 8m 42s (entire set up)</t>
  </si>
  <si>
    <t>14</t>
  </si>
  <si>
    <t>Execute scan</t>
  </si>
  <si>
    <t>Scan room 3T or 1.5T</t>
  </si>
  <si>
    <t>Alternate calculation</t>
  </si>
  <si>
    <t>Claustrophobia</t>
  </si>
  <si>
    <t>Scan Tech, Back Up Tech</t>
  </si>
  <si>
    <t>Back Up Tech #2</t>
  </si>
  <si>
    <t>???</t>
  </si>
  <si>
    <t xml:space="preserve">Contrast Reaction </t>
  </si>
  <si>
    <t>Scan Tech, Back Up Tech, Radiologist</t>
  </si>
  <si>
    <t>15</t>
  </si>
  <si>
    <t>Exit patient from magnet</t>
  </si>
  <si>
    <t>Back Up Tech, Scan Tech</t>
  </si>
  <si>
    <t>2m 25s</t>
  </si>
  <si>
    <t>16</t>
  </si>
  <si>
    <t>Patient supported in exiting facility</t>
  </si>
  <si>
    <t>Zone 3</t>
  </si>
  <si>
    <t>17</t>
  </si>
  <si>
    <t>Perform bed flip/setup for next pt.</t>
  </si>
  <si>
    <t>59.8 s</t>
  </si>
  <si>
    <t>18</t>
  </si>
  <si>
    <t>Scan paperwork to PACS, ensure data pushes</t>
  </si>
  <si>
    <t xml:space="preserve">1m 8s </t>
  </si>
  <si>
    <t>19</t>
  </si>
  <si>
    <t>Patient in change room</t>
  </si>
  <si>
    <t xml:space="preserve">2m 58s </t>
  </si>
  <si>
    <t>20</t>
  </si>
  <si>
    <t>Patient in washroom</t>
  </si>
  <si>
    <t xml:space="preserve">4m 40s </t>
  </si>
  <si>
    <t>21</t>
  </si>
  <si>
    <t>Patient at lockers</t>
  </si>
  <si>
    <t>23.3 s</t>
  </si>
  <si>
    <t>22</t>
  </si>
  <si>
    <t>Patient exits facility</t>
  </si>
  <si>
    <t>Zone 1-2</t>
  </si>
  <si>
    <t>38.62 s</t>
  </si>
  <si>
    <t xml:space="preserve">9m 12s </t>
  </si>
  <si>
    <t>Alternate Tasks</t>
  </si>
  <si>
    <t>Answer facility calls</t>
  </si>
  <si>
    <t>Back Up Tech, Porter</t>
  </si>
  <si>
    <t>Provide instruction to porter</t>
  </si>
  <si>
    <t>Maintain clinical calendar</t>
  </si>
  <si>
    <t xml:space="preserve">Manage clinical inventory ordering/stocking </t>
  </si>
  <si>
    <t>Manage cleaning inventory</t>
  </si>
  <si>
    <t>ta office</t>
  </si>
  <si>
    <t>Coordinate incoming inpatients with Float Tech /Porter</t>
  </si>
  <si>
    <t>Scan room 1 or 2</t>
  </si>
  <si>
    <t>Transport emerg/inpatients to zone 2</t>
  </si>
  <si>
    <t>In patient holding</t>
  </si>
  <si>
    <t>Alternate Porter</t>
  </si>
  <si>
    <t>Late show coordination</t>
  </si>
  <si>
    <t>No show coordination</t>
  </si>
  <si>
    <t xml:space="preserve">Tasks </t>
  </si>
  <si>
    <t>March 6th, 2025</t>
  </si>
  <si>
    <t>March 13th, 2025</t>
  </si>
  <si>
    <t>March 24th,2025</t>
  </si>
  <si>
    <t xml:space="preserve">1m 80s </t>
  </si>
  <si>
    <t>2m 12s, 5m 09s</t>
  </si>
  <si>
    <t>3m 38s, 3m 47s, 2m 05s</t>
  </si>
  <si>
    <t>20.98 s, 1m 04s, 2m 01s, 49.87s</t>
  </si>
  <si>
    <t>51.40s, 1m 35s, 1m 18s</t>
  </si>
  <si>
    <t>28.37s, 1m 02s, 1m 08s, 47.61s</t>
  </si>
  <si>
    <t>5m 44s, 3m 02s, 1m 32s, 3m 39s</t>
  </si>
  <si>
    <t>5m 47s, 2m 06s</t>
  </si>
  <si>
    <t>1m 54s, 2m 52s, 2m 19s, 2m 46s</t>
  </si>
  <si>
    <t>1m 20s, 49.02s</t>
  </si>
  <si>
    <t>1m 18s, 3m 48s, 5m 14s</t>
  </si>
  <si>
    <t>2m 11s, 1m 12s</t>
  </si>
  <si>
    <t>26.95s, 31.06s, 24.43s, 29.12s, 11.94s, 51.32s</t>
  </si>
  <si>
    <t>22.55s, 7.77s</t>
  </si>
  <si>
    <t xml:space="preserve">21.92s, 13.48s, 56.31s, 43.71s, </t>
  </si>
  <si>
    <t>7.82s, 21.59s, 20.10s</t>
  </si>
  <si>
    <t>31.53s, 5m 32s, 58. 27s</t>
  </si>
  <si>
    <t>31.87s, 3m 23s, 2m 60s, 2m 46s, 3m 15s, 2m 10s</t>
  </si>
  <si>
    <t>5m 41s, 5m 48s</t>
  </si>
  <si>
    <t>56.80s, 17.82s, 17.09s, 2m 62s, 54.76s</t>
  </si>
  <si>
    <t>2m 23s, 2m 48s, 2m 09s, 2m 48s</t>
  </si>
  <si>
    <t>1m 32s</t>
  </si>
  <si>
    <t>4m 05s, 2m 41s, 2m 02s</t>
  </si>
  <si>
    <t>1m 39s</t>
  </si>
  <si>
    <t>7m 48s</t>
  </si>
  <si>
    <t>Patient brough to scan room and set up</t>
  </si>
  <si>
    <t xml:space="preserve">2m 56s, 4m 48s, 4m 9s, 3m 36s, 6m 19s </t>
  </si>
  <si>
    <t>7m 29s, 5m 15s</t>
  </si>
  <si>
    <t>2m 27s, 3m 28s, 2m 01s, 1m 31s, 3m 34s</t>
  </si>
  <si>
    <t>12m 1s, 8m 4s</t>
  </si>
  <si>
    <t>25m 12s, 29m 57s</t>
  </si>
  <si>
    <t>10m 43s, 11m 32s, 20m 08s</t>
  </si>
  <si>
    <t xml:space="preserve">8m 42s </t>
  </si>
  <si>
    <t>1m 52s, 4m 16s, 2m 26s, 3m 11s</t>
  </si>
  <si>
    <t>4m 06s, 4m 31s, 1m 12s, 1m 18s, 20,9s</t>
  </si>
  <si>
    <t xml:space="preserve">1m 20s, 35s, 51.77s </t>
  </si>
  <si>
    <t>1m 13s</t>
  </si>
  <si>
    <t>46,81s, 2m 48s, 32.10s, 1m 28s</t>
  </si>
  <si>
    <t>57.36s, 1m 20s</t>
  </si>
  <si>
    <t>27.1s, 1m 09s</t>
  </si>
  <si>
    <t>3m 25s, 2m 07s</t>
  </si>
  <si>
    <t>3m 24s, 1m 45s</t>
  </si>
  <si>
    <t>4m 41s, 1m 48s, 1m 45s</t>
  </si>
  <si>
    <t>3m 48s, 5m 32s</t>
  </si>
  <si>
    <t>2m 21s, 2m 81s, 2m 14s</t>
  </si>
  <si>
    <t xml:space="preserve">15.78s, 21.97s, 2m 54s </t>
  </si>
  <si>
    <t>55.26s</t>
  </si>
  <si>
    <t>49.33s, 14.25s</t>
  </si>
  <si>
    <t xml:space="preserve">38.62s </t>
  </si>
  <si>
    <t>28.03s, 15.94s, 16.85s, 29.53s</t>
  </si>
  <si>
    <t>8m 25s, 6m 7s</t>
  </si>
  <si>
    <t>13m 06s</t>
  </si>
  <si>
    <t>8m 19s</t>
  </si>
  <si>
    <t>Step #</t>
  </si>
  <si>
    <t>Date</t>
  </si>
  <si>
    <t>Duration (sec)</t>
  </si>
  <si>
    <t>N</t>
  </si>
  <si>
    <t>Mean</t>
  </si>
  <si>
    <t>Min</t>
  </si>
  <si>
    <t>Max</t>
  </si>
  <si>
    <t>12a</t>
  </si>
  <si>
    <t>12b</t>
  </si>
  <si>
    <t>Patient brought to scan room and set up</t>
  </si>
  <si>
    <t>Total time in Zone 2 pre-scan</t>
  </si>
  <si>
    <t>13a</t>
  </si>
  <si>
    <t>Total time in Zone 2 post-scan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</si>
</sst>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434343"/>
      <name val="Roboto"/>
    </font>
    <font>
      <sz val="10"/>
      <color theme="1"/>
      <name val="Roboto"/>
    </font>
    <font>
      <sz val="10"/>
      <color theme="1"/>
      <name val="Arial"/>
    </font>
    <font>
      <sz val="10"/>
      <color rgb="FF000000"/>
      <name val="Roboto"/>
    </font>
    <font>
      <sz val="11"/>
      <color theme="1"/>
      <name val="Arial"/>
      <scheme val="minor"/>
    </font>
    <font>
      <sz val="10"/>
      <color theme="1"/>
      <name val="Arial"/>
      <family val="2"/>
    </font>
    <font>
      <sz val="8"/>
      <name val="Arial"/>
      <scheme val="minor"/>
    </font>
    <font>
      <sz val="10"/>
      <color rgb="FF00000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2" tint="-0.14999847407452621"/>
        <bgColor rgb="FFFFFFFF"/>
      </patternFill>
    </fill>
    <fill>
      <patternFill patternType="solid">
        <fgColor theme="2" tint="-0.14999847407452621"/>
        <bgColor rgb="FFF6F8F9"/>
      </patternFill>
    </fill>
  </fills>
  <borders count="24">
    <border>
      <left/>
      <right/>
      <top/>
      <bottom/>
      <diagonal/>
    </border>
    <border>
      <left style="thin">
        <color rgb="FFA06A95"/>
      </left>
      <right style="thin">
        <color rgb="FFD58DC7"/>
      </right>
      <top style="thin">
        <color rgb="FFA06A95"/>
      </top>
      <bottom style="thin">
        <color rgb="FFA06A95"/>
      </bottom>
      <diagonal/>
    </border>
    <border>
      <left style="thin">
        <color rgb="FFD58DC7"/>
      </left>
      <right style="thin">
        <color rgb="FFD58DC7"/>
      </right>
      <top style="thin">
        <color rgb="FFA06A95"/>
      </top>
      <bottom style="thin">
        <color rgb="FFA06A95"/>
      </bottom>
      <diagonal/>
    </border>
    <border>
      <left style="thin">
        <color rgb="FFD58DC7"/>
      </left>
      <right style="thin">
        <color rgb="FFA06A95"/>
      </right>
      <top style="thin">
        <color rgb="FFA06A95"/>
      </top>
      <bottom style="thin">
        <color rgb="FFA06A95"/>
      </bottom>
      <diagonal/>
    </border>
    <border>
      <left style="thin">
        <color rgb="FFA06A9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A06A95"/>
      </right>
      <top style="thin">
        <color rgb="FFFFFFFF"/>
      </top>
      <bottom style="thin">
        <color rgb="FFFFFFFF"/>
      </bottom>
      <diagonal/>
    </border>
    <border>
      <left style="thin">
        <color rgb="FFA06A95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A06A95"/>
      </right>
      <top style="thin">
        <color rgb="FFF6F8F9"/>
      </top>
      <bottom style="thin">
        <color rgb="FFF6F8F9"/>
      </bottom>
      <diagonal/>
    </border>
    <border>
      <left style="thin">
        <color rgb="FFA06A95"/>
      </left>
      <right style="thin">
        <color rgb="FFF6F8F9"/>
      </right>
      <top style="thin">
        <color rgb="FFF6F8F9"/>
      </top>
      <bottom style="thin">
        <color rgb="FFA06A95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A06A95"/>
      </bottom>
      <diagonal/>
    </border>
    <border>
      <left style="thin">
        <color rgb="FFF6F8F9"/>
      </left>
      <right style="thin">
        <color rgb="FFA06A95"/>
      </right>
      <top style="thin">
        <color rgb="FFF6F8F9"/>
      </top>
      <bottom style="thin">
        <color rgb="FFA06A95"/>
      </bottom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49" fontId="1" fillId="0" borderId="4" xfId="0" applyNumberFormat="1" applyFont="1" applyBorder="1" applyAlignment="1">
      <alignment horizontal="center" vertical="center"/>
    </xf>
    <xf numFmtId="49" fontId="1" fillId="0" borderId="5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10" fontId="1" fillId="0" borderId="6" xfId="0" applyNumberFormat="1" applyFont="1" applyBorder="1" applyAlignment="1">
      <alignment horizontal="center" vertical="center"/>
    </xf>
    <xf numFmtId="49" fontId="2" fillId="2" borderId="5" xfId="0" applyNumberFormat="1" applyFont="1" applyFill="1" applyBorder="1"/>
    <xf numFmtId="49" fontId="3" fillId="2" borderId="0" xfId="0" applyNumberFormat="1" applyFont="1" applyFill="1"/>
    <xf numFmtId="0" fontId="3" fillId="2" borderId="0" xfId="0" applyFont="1" applyFill="1"/>
    <xf numFmtId="49" fontId="1" fillId="0" borderId="7" xfId="0" applyNumberFormat="1" applyFont="1" applyBorder="1" applyAlignment="1">
      <alignment horizontal="center" vertical="center"/>
    </xf>
    <xf numFmtId="49" fontId="1" fillId="0" borderId="8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10" fontId="1" fillId="0" borderId="9" xfId="0" applyNumberFormat="1" applyFont="1" applyBorder="1" applyAlignment="1">
      <alignment horizontal="center" vertical="center"/>
    </xf>
    <xf numFmtId="49" fontId="2" fillId="3" borderId="8" xfId="0" applyNumberFormat="1" applyFont="1" applyFill="1" applyBorder="1"/>
    <xf numFmtId="49" fontId="4" fillId="3" borderId="0" xfId="0" applyNumberFormat="1" applyFont="1" applyFill="1"/>
    <xf numFmtId="0" fontId="4" fillId="3" borderId="0" xfId="0" applyFont="1" applyFill="1"/>
    <xf numFmtId="0" fontId="4" fillId="2" borderId="0" xfId="0" applyFont="1" applyFill="1"/>
    <xf numFmtId="49" fontId="5" fillId="2" borderId="5" xfId="0" applyNumberFormat="1" applyFont="1" applyFill="1" applyBorder="1" applyAlignment="1">
      <alignment vertical="center"/>
    </xf>
    <xf numFmtId="49" fontId="4" fillId="2" borderId="0" xfId="0" applyNumberFormat="1" applyFont="1" applyFill="1"/>
    <xf numFmtId="49" fontId="3" fillId="2" borderId="5" xfId="0" applyNumberFormat="1" applyFont="1" applyFill="1" applyBorder="1"/>
    <xf numFmtId="0" fontId="2" fillId="2" borderId="0" xfId="0" applyFont="1" applyFill="1"/>
    <xf numFmtId="0" fontId="1" fillId="0" borderId="4" xfId="0" applyFont="1" applyBorder="1" applyAlignment="1">
      <alignment horizontal="center" vertical="center"/>
    </xf>
    <xf numFmtId="49" fontId="1" fillId="0" borderId="0" xfId="0" applyNumberFormat="1" applyFont="1"/>
    <xf numFmtId="0" fontId="1" fillId="0" borderId="0" xfId="0" applyFont="1"/>
    <xf numFmtId="49" fontId="1" fillId="0" borderId="10" xfId="0" applyNumberFormat="1" applyFont="1" applyBorder="1" applyAlignment="1">
      <alignment horizontal="center" vertical="center"/>
    </xf>
    <xf numFmtId="49" fontId="1" fillId="0" borderId="11" xfId="0" applyNumberFormat="1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10" fontId="6" fillId="0" borderId="12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4" fillId="0" borderId="15" xfId="0" applyFont="1" applyBorder="1" applyAlignment="1">
      <alignment horizontal="left"/>
    </xf>
    <xf numFmtId="49" fontId="3" fillId="2" borderId="16" xfId="0" applyNumberFormat="1" applyFont="1" applyFill="1" applyBorder="1"/>
    <xf numFmtId="0" fontId="3" fillId="2" borderId="5" xfId="0" applyFont="1" applyFill="1" applyBorder="1"/>
    <xf numFmtId="0" fontId="3" fillId="2" borderId="17" xfId="0" applyFont="1" applyFill="1" applyBorder="1"/>
    <xf numFmtId="49" fontId="4" fillId="3" borderId="18" xfId="0" applyNumberFormat="1" applyFont="1" applyFill="1" applyBorder="1"/>
    <xf numFmtId="49" fontId="4" fillId="3" borderId="8" xfId="0" applyNumberFormat="1" applyFont="1" applyFill="1" applyBorder="1"/>
    <xf numFmtId="0" fontId="4" fillId="3" borderId="8" xfId="0" applyFont="1" applyFill="1" applyBorder="1"/>
    <xf numFmtId="0" fontId="4" fillId="3" borderId="19" xfId="0" applyFont="1" applyFill="1" applyBorder="1"/>
    <xf numFmtId="0" fontId="4" fillId="2" borderId="5" xfId="0" applyFont="1" applyFill="1" applyBorder="1"/>
    <xf numFmtId="0" fontId="4" fillId="2" borderId="17" xfId="0" applyFont="1" applyFill="1" applyBorder="1"/>
    <xf numFmtId="49" fontId="4" fillId="2" borderId="16" xfId="0" applyNumberFormat="1" applyFont="1" applyFill="1" applyBorder="1"/>
    <xf numFmtId="49" fontId="4" fillId="2" borderId="5" xfId="0" applyNumberFormat="1" applyFont="1" applyFill="1" applyBorder="1"/>
    <xf numFmtId="49" fontId="4" fillId="2" borderId="20" xfId="0" applyNumberFormat="1" applyFont="1" applyFill="1" applyBorder="1"/>
    <xf numFmtId="49" fontId="4" fillId="2" borderId="21" xfId="0" applyNumberFormat="1" applyFont="1" applyFill="1" applyBorder="1"/>
    <xf numFmtId="0" fontId="4" fillId="3" borderId="22" xfId="0" applyFont="1" applyFill="1" applyBorder="1"/>
    <xf numFmtId="0" fontId="4" fillId="3" borderId="23" xfId="0" applyFont="1" applyFill="1" applyBorder="1"/>
    <xf numFmtId="1" fontId="7" fillId="6" borderId="0" xfId="0" applyNumberFormat="1" applyFont="1" applyFill="1"/>
    <xf numFmtId="1" fontId="0" fillId="0" borderId="0" xfId="0" applyNumberFormat="1"/>
    <xf numFmtId="49" fontId="4" fillId="7" borderId="0" xfId="0" applyNumberFormat="1" applyFont="1" applyFill="1"/>
    <xf numFmtId="0" fontId="7" fillId="6" borderId="0" xfId="0" applyFont="1" applyFill="1"/>
    <xf numFmtId="49" fontId="4" fillId="2" borderId="0" xfId="0" applyNumberFormat="1" applyFont="1" applyFill="1" applyAlignment="1">
      <alignment wrapText="1"/>
    </xf>
    <xf numFmtId="0" fontId="9" fillId="0" borderId="0" xfId="0" applyFont="1" applyAlignment="1">
      <alignment horizontal="center" vertical="center"/>
    </xf>
    <xf numFmtId="1" fontId="7" fillId="0" borderId="0" xfId="0" applyNumberFormat="1" applyFont="1"/>
    <xf numFmtId="49" fontId="4" fillId="0" borderId="0" xfId="0" applyNumberFormat="1" applyFont="1" applyAlignment="1">
      <alignment wrapText="1"/>
    </xf>
    <xf numFmtId="14" fontId="3" fillId="2" borderId="0" xfId="0" applyNumberFormat="1" applyFont="1" applyFill="1"/>
    <xf numFmtId="1" fontId="7" fillId="6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3" fillId="2" borderId="0" xfId="0" applyNumberFormat="1" applyFont="1" applyFill="1" applyAlignment="1">
      <alignment horizontal="center" vertical="center" wrapText="1"/>
    </xf>
    <xf numFmtId="49" fontId="4" fillId="3" borderId="0" xfId="0" applyNumberFormat="1" applyFont="1" applyFill="1" applyAlignment="1">
      <alignment wrapText="1"/>
    </xf>
    <xf numFmtId="0" fontId="7" fillId="0" borderId="0" xfId="0" applyFont="1"/>
    <xf numFmtId="0" fontId="7" fillId="6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49" fontId="4" fillId="2" borderId="0" xfId="0" applyNumberFormat="1" applyFont="1" applyFill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49" fontId="7" fillId="2" borderId="0" xfId="0" applyNumberFormat="1" applyFont="1" applyFill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horizontal="left"/>
    </xf>
    <xf numFmtId="49" fontId="3" fillId="2" borderId="0" xfId="0" applyNumberFormat="1" applyFont="1" applyFill="1" applyAlignment="1">
      <alignment horizontal="left" vertical="center" wrapText="1"/>
    </xf>
    <xf numFmtId="0" fontId="0" fillId="5" borderId="0" xfId="0" applyFill="1"/>
    <xf numFmtId="0" fontId="0" fillId="5" borderId="0" xfId="0" applyFill="1" applyAlignment="1">
      <alignment horizontal="center" vertical="center"/>
    </xf>
    <xf numFmtId="49" fontId="3" fillId="6" borderId="0" xfId="0" applyNumberFormat="1" applyFont="1" applyFill="1" applyAlignment="1">
      <alignment horizontal="left" vertical="center" wrapText="1"/>
    </xf>
    <xf numFmtId="14" fontId="3" fillId="6" borderId="0" xfId="0" applyNumberFormat="1" applyFont="1" applyFill="1"/>
    <xf numFmtId="49" fontId="4" fillId="0" borderId="0" xfId="0" applyNumberFormat="1" applyFont="1" applyAlignment="1">
      <alignment horizontal="left" vertical="center" wrapText="1"/>
    </xf>
    <xf numFmtId="49" fontId="7" fillId="3" borderId="0" xfId="0" applyNumberFormat="1" applyFont="1" applyFill="1" applyAlignment="1">
      <alignment horizontal="center" vertical="center" wrapText="1"/>
    </xf>
    <xf numFmtId="49" fontId="4" fillId="7" borderId="0" xfId="0" applyNumberFormat="1" applyFont="1" applyFill="1" applyAlignment="1">
      <alignment horizontal="left" vertical="center" wrapText="1"/>
    </xf>
    <xf numFmtId="49" fontId="7" fillId="7" borderId="0" xfId="0" applyNumberFormat="1" applyFont="1" applyFill="1"/>
    <xf numFmtId="0" fontId="0" fillId="0" borderId="0" xfId="0" applyAlignment="1">
      <alignment horizontal="center"/>
    </xf>
    <xf numFmtId="49" fontId="4" fillId="2" borderId="0" xfId="0" applyNumberFormat="1" applyFont="1" applyFill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4" fillId="3" borderId="0" xfId="0" applyNumberFormat="1" applyFont="1" applyFill="1" applyAlignment="1">
      <alignment horizontal="left" vertical="center" wrapText="1"/>
    </xf>
    <xf numFmtId="49" fontId="7" fillId="2" borderId="0" xfId="0" applyNumberFormat="1" applyFont="1" applyFill="1" applyAlignment="1">
      <alignment wrapText="1"/>
    </xf>
    <xf numFmtId="49" fontId="7" fillId="3" borderId="0" xfId="0" applyNumberFormat="1" applyFont="1" applyFill="1" applyAlignment="1">
      <alignment wrapText="1"/>
    </xf>
    <xf numFmtId="49" fontId="7" fillId="0" borderId="0" xfId="0" applyNumberFormat="1" applyFont="1" applyAlignment="1">
      <alignment wrapText="1"/>
    </xf>
    <xf numFmtId="49" fontId="7" fillId="3" borderId="0" xfId="0" applyNumberFormat="1" applyFont="1" applyFill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2" fontId="7" fillId="4" borderId="0" xfId="0" applyNumberFormat="1" applyFont="1" applyFill="1" applyAlignment="1">
      <alignment horizontal="left"/>
    </xf>
    <xf numFmtId="2" fontId="4" fillId="2" borderId="0" xfId="0" applyNumberFormat="1" applyFont="1" applyFill="1"/>
    <xf numFmtId="2" fontId="7" fillId="2" borderId="0" xfId="0" applyNumberFormat="1" applyFont="1" applyFill="1"/>
    <xf numFmtId="2" fontId="7" fillId="6" borderId="0" xfId="0" applyNumberFormat="1" applyFont="1" applyFill="1"/>
    <xf numFmtId="2" fontId="4" fillId="3" borderId="0" xfId="0" applyNumberFormat="1" applyFont="1" applyFill="1"/>
    <xf numFmtId="2" fontId="7" fillId="0" borderId="0" xfId="0" applyNumberFormat="1" applyFont="1"/>
    <xf numFmtId="2" fontId="7" fillId="3" borderId="0" xfId="0" applyNumberFormat="1" applyFont="1" applyFill="1"/>
    <xf numFmtId="2" fontId="0" fillId="0" borderId="0" xfId="0" applyNumberFormat="1"/>
    <xf numFmtId="2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49" fontId="4" fillId="3" borderId="0" xfId="0" applyNumberFormat="1" applyFont="1" applyFill="1" applyAlignment="1">
      <alignment horizontal="left" wrapText="1"/>
    </xf>
    <xf numFmtId="49" fontId="4" fillId="2" borderId="0" xfId="0" applyNumberFormat="1" applyFont="1" applyFill="1" applyAlignment="1">
      <alignment horizontal="left" wrapText="1"/>
    </xf>
    <xf numFmtId="49" fontId="4" fillId="0" borderId="0" xfId="0" applyNumberFormat="1" applyFont="1" applyAlignment="1">
      <alignment horizontal="left" wrapText="1"/>
    </xf>
    <xf numFmtId="49" fontId="7" fillId="2" borderId="0" xfId="0" applyNumberFormat="1" applyFont="1" applyFill="1" applyAlignment="1">
      <alignment horizontal="left" wrapText="1"/>
    </xf>
    <xf numFmtId="49" fontId="7" fillId="3" borderId="0" xfId="0" applyNumberFormat="1" applyFont="1" applyFill="1" applyAlignment="1">
      <alignment horizontal="left" wrapText="1"/>
    </xf>
    <xf numFmtId="49" fontId="7" fillId="0" borderId="0" xfId="0" applyNumberFormat="1" applyFont="1" applyAlignment="1">
      <alignment horizontal="left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2" formatCode="0.00"/>
      <fill>
        <patternFill patternType="solid">
          <fgColor rgb="FFFFFFFF"/>
          <bgColor rgb="FFFFFFFF"/>
        </patternFill>
      </fill>
      <alignment horizontal="general" vertical="bottom"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58DC7"/>
          <bgColor rgb="FFD58DC7"/>
        </patternFill>
      </fill>
    </dxf>
  </dxfs>
  <tableStyles count="3">
    <tableStyle name="Sheet1-style" pivot="0" count="3" xr9:uid="{00000000-0011-0000-FFFF-FFFF00000000}">
      <tableStyleElement type="headerRow" dxfId="10"/>
      <tableStyleElement type="firstRowStripe" dxfId="9"/>
      <tableStyleElement type="secondRowStripe" dxfId="8"/>
    </tableStyle>
    <tableStyle name="Sheet1-style 2" pivot="0" count="2" xr9:uid="{00000000-0011-0000-FFFF-FFFF01000000}">
      <tableStyleElement type="firstRowStripe" dxfId="7"/>
      <tableStyleElement type="secondRowStripe" dxfId="6"/>
    </tableStyle>
    <tableStyle name="Sheet2-style" pivot="0" count="3" xr9:uid="{00000000-0011-0000-FFFF-FFFF02000000}">
      <tableStyleElement type="headerRow" dxfId="5"/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RI_Department_Efficiency_Januart_2025" displayName="MRI_Department_Efficiency_Januart_2025" ref="A1:G41">
  <tableColumns count="7">
    <tableColumn id="1" xr3:uid="{00000000-0010-0000-0000-000001000000}" name="Column 1"/>
    <tableColumn id="2" xr3:uid="{00000000-0010-0000-0000-000002000000}" name="Task"/>
    <tableColumn id="3" xr3:uid="{00000000-0010-0000-0000-000003000000}" name="Space Occupied"/>
    <tableColumn id="4" xr3:uid="{00000000-0010-0000-0000-000004000000}" name="Role"/>
    <tableColumn id="5" xr3:uid="{00000000-0010-0000-0000-000005000000}" name="Support Role"/>
    <tableColumn id="6" xr3:uid="{00000000-0010-0000-0000-000006000000}" name="Time to Complete Task"/>
    <tableColumn id="7" xr3:uid="{00000000-0010-0000-0000-000007000000}" name="Probability of Action 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" displayName="Table_1" ref="I42:M42" headerRowCount="0">
  <tableColumns count="5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</tableColumns>
  <tableStyleInfo name="Sheet1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1" displayName="Table1" ref="A1:D27">
  <tableColumns count="4">
    <tableColumn id="1" xr3:uid="{00000000-0010-0000-0200-000001000000}" name="Tasks "/>
    <tableColumn id="2" xr3:uid="{00000000-0010-0000-0200-000002000000}" name="March 6th, 2025"/>
    <tableColumn id="3" xr3:uid="{00000000-0010-0000-0200-000003000000}" name="March 13th, 2025"/>
    <tableColumn id="4" xr3:uid="{00000000-0010-0000-0200-000004000000}" name="March 24th,2025"/>
  </tableColumns>
  <tableStyleInfo name="Sheet2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DBFCF4A-3DFC-456B-9CF4-6EF4D5B1B66A}" name="Table15" displayName="Table15" ref="B1:D157" headerRowDxfId="2">
  <tableColumns count="3">
    <tableColumn id="1" xr3:uid="{EA4E4E09-930C-4E63-A388-094BB6BF197F}" name="Tasks " dataDxfId="1"/>
    <tableColumn id="2" xr3:uid="{A1D8EF96-F6C0-4A90-A8CF-29C935807AA2}" name="Date"/>
    <tableColumn id="6" xr3:uid="{E09FDD8A-B8AA-4CCA-A0B4-6B80038799E6}" name="Duration (sec)" dataDxfId="0"/>
  </tableColumns>
  <tableStyleInfo name="Sheet2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42"/>
  <sheetViews>
    <sheetView workbookViewId="0">
      <pane ySplit="1" topLeftCell="A2" activePane="bottomLeft" state="frozen"/>
      <selection pane="bottomLeft" activeCell="B11" sqref="B11"/>
    </sheetView>
  </sheetViews>
  <sheetFormatPr baseColWidth="10" defaultColWidth="12.5" defaultRowHeight="15.75" customHeight="1" x14ac:dyDescent="0.15"/>
  <cols>
    <col min="1" max="1" width="15.6640625" customWidth="1"/>
    <col min="2" max="2" width="49.83203125" customWidth="1"/>
    <col min="3" max="3" width="17.5" customWidth="1"/>
    <col min="4" max="4" width="36.5" customWidth="1"/>
    <col min="5" max="5" width="24.33203125" customWidth="1"/>
    <col min="6" max="6" width="25.83203125" customWidth="1"/>
    <col min="7" max="7" width="16.83203125" customWidth="1"/>
    <col min="8" max="8" width="16.5" customWidth="1"/>
    <col min="9" max="9" width="47.5" customWidth="1"/>
    <col min="10" max="10" width="39.5" customWidth="1"/>
    <col min="11" max="11" width="20.5" customWidth="1"/>
    <col min="12" max="12" width="33.83203125" customWidth="1"/>
    <col min="13" max="13" width="34.83203125" customWidth="1"/>
  </cols>
  <sheetData>
    <row r="1" spans="1:12" ht="15.75" customHeight="1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12" ht="15.75" customHeight="1" x14ac:dyDescent="0.15">
      <c r="A2" s="4" t="s">
        <v>7</v>
      </c>
      <c r="B2" s="5" t="s">
        <v>8</v>
      </c>
      <c r="C2" s="5" t="s">
        <v>9</v>
      </c>
      <c r="D2" s="6" t="s">
        <v>10</v>
      </c>
      <c r="E2" s="6" t="s">
        <v>11</v>
      </c>
      <c r="F2" s="6" t="s">
        <v>12</v>
      </c>
      <c r="G2" s="7">
        <v>1</v>
      </c>
      <c r="H2" s="8"/>
      <c r="I2" s="9"/>
      <c r="J2" s="9"/>
      <c r="K2" s="10"/>
      <c r="L2" s="10"/>
    </row>
    <row r="3" spans="1:12" ht="15.75" customHeight="1" x14ac:dyDescent="0.15">
      <c r="A3" s="11" t="s">
        <v>13</v>
      </c>
      <c r="B3" s="12" t="s">
        <v>14</v>
      </c>
      <c r="C3" s="12" t="s">
        <v>9</v>
      </c>
      <c r="D3" s="13" t="s">
        <v>10</v>
      </c>
      <c r="E3" s="13" t="s">
        <v>11</v>
      </c>
      <c r="F3" s="12" t="s">
        <v>12</v>
      </c>
      <c r="G3" s="14">
        <v>1</v>
      </c>
      <c r="H3" s="15"/>
      <c r="I3" s="16"/>
      <c r="J3" s="16"/>
      <c r="K3" s="17"/>
      <c r="L3" s="17"/>
    </row>
    <row r="4" spans="1:12" ht="15.75" customHeight="1" x14ac:dyDescent="0.15">
      <c r="A4" s="4" t="s">
        <v>15</v>
      </c>
      <c r="B4" s="5" t="s">
        <v>16</v>
      </c>
      <c r="C4" s="5" t="s">
        <v>9</v>
      </c>
      <c r="D4" s="6" t="s">
        <v>17</v>
      </c>
      <c r="E4" s="6" t="s">
        <v>18</v>
      </c>
      <c r="F4" s="5" t="s">
        <v>12</v>
      </c>
      <c r="G4" s="7">
        <v>1</v>
      </c>
      <c r="H4" s="8"/>
      <c r="I4" s="16"/>
      <c r="J4" s="16"/>
      <c r="K4" s="18"/>
      <c r="L4" s="18"/>
    </row>
    <row r="5" spans="1:12" ht="15.75" customHeight="1" x14ac:dyDescent="0.15">
      <c r="A5" s="11" t="s">
        <v>19</v>
      </c>
      <c r="B5" s="19" t="s">
        <v>20</v>
      </c>
      <c r="C5" s="12" t="s">
        <v>21</v>
      </c>
      <c r="D5" s="13" t="s">
        <v>22</v>
      </c>
      <c r="E5" s="13" t="s">
        <v>22</v>
      </c>
      <c r="F5" s="12" t="s">
        <v>23</v>
      </c>
      <c r="G5" s="14">
        <v>1</v>
      </c>
      <c r="H5" s="15"/>
      <c r="I5" s="20"/>
      <c r="J5" s="20"/>
      <c r="K5" s="17"/>
      <c r="L5" s="17"/>
    </row>
    <row r="6" spans="1:12" ht="15.75" customHeight="1" x14ac:dyDescent="0.15">
      <c r="A6" s="4" t="s">
        <v>24</v>
      </c>
      <c r="B6" s="5" t="s">
        <v>25</v>
      </c>
      <c r="C6" s="5" t="s">
        <v>26</v>
      </c>
      <c r="D6" s="6" t="s">
        <v>17</v>
      </c>
      <c r="E6" s="6" t="s">
        <v>18</v>
      </c>
      <c r="F6" s="5" t="s">
        <v>27</v>
      </c>
      <c r="G6" s="7">
        <v>1</v>
      </c>
      <c r="H6" s="21"/>
      <c r="I6" s="16"/>
      <c r="J6" s="16"/>
      <c r="K6" s="18"/>
      <c r="L6" s="18"/>
    </row>
    <row r="7" spans="1:12" ht="15.75" customHeight="1" x14ac:dyDescent="0.15">
      <c r="A7" s="11" t="s">
        <v>28</v>
      </c>
      <c r="B7" s="12" t="s">
        <v>29</v>
      </c>
      <c r="C7" s="12" t="s">
        <v>9</v>
      </c>
      <c r="D7" s="13" t="s">
        <v>10</v>
      </c>
      <c r="E7" s="13" t="s">
        <v>11</v>
      </c>
      <c r="F7" s="12" t="s">
        <v>30</v>
      </c>
      <c r="G7" s="14">
        <v>1</v>
      </c>
      <c r="H7" s="15"/>
      <c r="I7" s="20"/>
      <c r="J7" s="20"/>
      <c r="K7" s="17"/>
      <c r="L7" s="17"/>
    </row>
    <row r="8" spans="1:12" ht="15.75" customHeight="1" x14ac:dyDescent="0.15">
      <c r="A8" s="4" t="s">
        <v>31</v>
      </c>
      <c r="B8" s="5" t="s">
        <v>32</v>
      </c>
      <c r="C8" s="5" t="s">
        <v>33</v>
      </c>
      <c r="D8" s="6" t="s">
        <v>22</v>
      </c>
      <c r="E8" s="6" t="s">
        <v>22</v>
      </c>
      <c r="F8" s="5" t="s">
        <v>34</v>
      </c>
      <c r="G8" s="7">
        <v>1</v>
      </c>
      <c r="H8" s="8"/>
      <c r="I8" s="16"/>
      <c r="J8" s="16"/>
      <c r="K8" s="18"/>
      <c r="L8" s="18"/>
    </row>
    <row r="9" spans="1:12" ht="15.75" customHeight="1" x14ac:dyDescent="0.15">
      <c r="A9" s="11" t="s">
        <v>35</v>
      </c>
      <c r="B9" s="12" t="s">
        <v>36</v>
      </c>
      <c r="C9" s="12" t="s">
        <v>37</v>
      </c>
      <c r="D9" s="13" t="s">
        <v>22</v>
      </c>
      <c r="E9" s="13" t="s">
        <v>22</v>
      </c>
      <c r="F9" s="12" t="s">
        <v>38</v>
      </c>
      <c r="G9" s="14">
        <v>1</v>
      </c>
      <c r="H9" s="15"/>
      <c r="I9" s="20"/>
      <c r="J9" s="20"/>
      <c r="K9" s="17"/>
      <c r="L9" s="17"/>
    </row>
    <row r="10" spans="1:12" ht="15.75" customHeight="1" x14ac:dyDescent="0.15">
      <c r="A10" s="4" t="s">
        <v>39</v>
      </c>
      <c r="B10" s="5" t="s">
        <v>40</v>
      </c>
      <c r="C10" s="5" t="s">
        <v>41</v>
      </c>
      <c r="D10" s="6" t="s">
        <v>22</v>
      </c>
      <c r="E10" s="6" t="s">
        <v>22</v>
      </c>
      <c r="F10" s="5" t="s">
        <v>42</v>
      </c>
      <c r="G10" s="7">
        <v>1</v>
      </c>
      <c r="H10" s="8"/>
      <c r="I10" s="16"/>
      <c r="J10" s="16"/>
      <c r="K10" s="18"/>
      <c r="L10" s="18"/>
    </row>
    <row r="11" spans="1:12" ht="15.75" customHeight="1" x14ac:dyDescent="0.15">
      <c r="A11" s="11" t="s">
        <v>43</v>
      </c>
      <c r="B11" s="12" t="s">
        <v>44</v>
      </c>
      <c r="C11" s="12" t="s">
        <v>45</v>
      </c>
      <c r="D11" s="13" t="s">
        <v>46</v>
      </c>
      <c r="E11" s="13" t="s">
        <v>10</v>
      </c>
      <c r="F11" s="12" t="s">
        <v>47</v>
      </c>
      <c r="G11" s="14">
        <v>1</v>
      </c>
      <c r="H11" s="15"/>
      <c r="I11" s="20"/>
      <c r="J11" s="20"/>
      <c r="K11" s="17"/>
      <c r="L11" s="17"/>
    </row>
    <row r="12" spans="1:12" ht="15.75" customHeight="1" x14ac:dyDescent="0.15">
      <c r="A12" s="4" t="s">
        <v>48</v>
      </c>
      <c r="B12" s="5" t="s">
        <v>49</v>
      </c>
      <c r="C12" s="5" t="s">
        <v>50</v>
      </c>
      <c r="D12" s="6" t="s">
        <v>46</v>
      </c>
      <c r="E12" s="6" t="s">
        <v>11</v>
      </c>
      <c r="F12" s="5" t="s">
        <v>51</v>
      </c>
      <c r="G12" s="7">
        <v>1</v>
      </c>
      <c r="H12" s="8"/>
      <c r="I12" s="16"/>
      <c r="J12" s="16"/>
      <c r="K12" s="18"/>
      <c r="L12" s="18"/>
    </row>
    <row r="13" spans="1:12" ht="15.75" customHeight="1" x14ac:dyDescent="0.15">
      <c r="A13" s="11" t="s">
        <v>52</v>
      </c>
      <c r="B13" s="12" t="s">
        <v>53</v>
      </c>
      <c r="C13" s="12" t="s">
        <v>50</v>
      </c>
      <c r="D13" s="13" t="s">
        <v>46</v>
      </c>
      <c r="E13" s="13" t="s">
        <v>11</v>
      </c>
      <c r="F13" s="12" t="s">
        <v>54</v>
      </c>
      <c r="G13" s="14">
        <v>0.01</v>
      </c>
      <c r="H13" s="15"/>
      <c r="I13" s="20"/>
      <c r="J13" s="20"/>
      <c r="K13" s="17"/>
      <c r="L13" s="17"/>
    </row>
    <row r="14" spans="1:12" ht="15.75" customHeight="1" x14ac:dyDescent="0.15">
      <c r="A14" s="4" t="s">
        <v>55</v>
      </c>
      <c r="B14" s="5" t="s">
        <v>56</v>
      </c>
      <c r="C14" s="5" t="s">
        <v>50</v>
      </c>
      <c r="D14" s="6" t="s">
        <v>46</v>
      </c>
      <c r="E14" s="6" t="s">
        <v>11</v>
      </c>
      <c r="F14" s="5" t="s">
        <v>57</v>
      </c>
      <c r="G14" s="7">
        <v>0.33</v>
      </c>
      <c r="H14" s="8"/>
      <c r="I14" s="16"/>
      <c r="J14" s="16"/>
      <c r="K14" s="18"/>
      <c r="L14" s="18"/>
    </row>
    <row r="15" spans="1:12" ht="15.75" customHeight="1" x14ac:dyDescent="0.15">
      <c r="A15" s="11" t="s">
        <v>52</v>
      </c>
      <c r="B15" s="12" t="s">
        <v>58</v>
      </c>
      <c r="C15" s="12" t="s">
        <v>50</v>
      </c>
      <c r="D15" s="13" t="s">
        <v>46</v>
      </c>
      <c r="E15" s="13" t="s">
        <v>11</v>
      </c>
      <c r="F15" s="12"/>
      <c r="G15" s="14">
        <v>1E-3</v>
      </c>
      <c r="H15" s="15"/>
      <c r="I15" s="20"/>
      <c r="J15" s="20"/>
      <c r="K15" s="17"/>
      <c r="L15" s="17"/>
    </row>
    <row r="16" spans="1:12" ht="15.75" customHeight="1" x14ac:dyDescent="0.15">
      <c r="A16" s="4" t="s">
        <v>59</v>
      </c>
      <c r="B16" s="5" t="s">
        <v>60</v>
      </c>
      <c r="C16" s="5" t="s">
        <v>50</v>
      </c>
      <c r="D16" s="6" t="s">
        <v>46</v>
      </c>
      <c r="E16" s="6" t="s">
        <v>11</v>
      </c>
      <c r="F16" s="5" t="s">
        <v>61</v>
      </c>
      <c r="G16" s="7"/>
      <c r="H16" s="8"/>
      <c r="I16" s="16"/>
      <c r="J16" s="16"/>
      <c r="K16" s="18"/>
      <c r="L16" s="18"/>
    </row>
    <row r="17" spans="1:12" ht="15.75" customHeight="1" x14ac:dyDescent="0.15">
      <c r="A17" s="11" t="s">
        <v>62</v>
      </c>
      <c r="B17" s="12" t="s">
        <v>63</v>
      </c>
      <c r="C17" s="12" t="s">
        <v>64</v>
      </c>
      <c r="D17" s="13" t="s">
        <v>46</v>
      </c>
      <c r="E17" s="13" t="s">
        <v>11</v>
      </c>
      <c r="F17" s="12" t="s">
        <v>65</v>
      </c>
      <c r="G17" s="14">
        <v>1</v>
      </c>
      <c r="H17" s="15"/>
      <c r="I17" s="20"/>
      <c r="J17" s="20"/>
      <c r="K17" s="17"/>
      <c r="L17" s="17"/>
    </row>
    <row r="18" spans="1:12" ht="15.75" customHeight="1" x14ac:dyDescent="0.15">
      <c r="A18" s="4"/>
      <c r="B18" s="5" t="s">
        <v>66</v>
      </c>
      <c r="C18" s="5" t="s">
        <v>26</v>
      </c>
      <c r="D18" s="6"/>
      <c r="E18" s="6"/>
      <c r="F18" s="5" t="s">
        <v>67</v>
      </c>
      <c r="G18" s="7"/>
      <c r="H18" s="8"/>
      <c r="I18" s="16"/>
      <c r="J18" s="16"/>
      <c r="K18" s="18"/>
      <c r="L18" s="18"/>
    </row>
    <row r="19" spans="1:12" ht="15.75" customHeight="1" x14ac:dyDescent="0.15">
      <c r="A19" s="11" t="s">
        <v>52</v>
      </c>
      <c r="B19" s="12" t="s">
        <v>68</v>
      </c>
      <c r="C19" s="12" t="s">
        <v>69</v>
      </c>
      <c r="D19" s="13" t="s">
        <v>46</v>
      </c>
      <c r="E19" s="13" t="s">
        <v>11</v>
      </c>
      <c r="F19" s="12" t="s">
        <v>70</v>
      </c>
      <c r="G19" s="14"/>
      <c r="H19" s="15"/>
      <c r="I19" s="20"/>
      <c r="J19" s="20"/>
      <c r="K19" s="17"/>
      <c r="L19" s="17"/>
    </row>
    <row r="20" spans="1:12" ht="15.75" customHeight="1" x14ac:dyDescent="0.15">
      <c r="A20" s="4" t="s">
        <v>71</v>
      </c>
      <c r="B20" s="5" t="s">
        <v>72</v>
      </c>
      <c r="C20" s="5" t="s">
        <v>73</v>
      </c>
      <c r="D20" s="6" t="s">
        <v>46</v>
      </c>
      <c r="E20" s="6" t="s">
        <v>11</v>
      </c>
      <c r="F20" s="5" t="s">
        <v>74</v>
      </c>
      <c r="G20" s="7">
        <v>1</v>
      </c>
      <c r="H20" s="8"/>
      <c r="I20" s="16"/>
      <c r="J20" s="16"/>
      <c r="K20" s="18"/>
      <c r="L20" s="18"/>
    </row>
    <row r="21" spans="1:12" ht="15.75" customHeight="1" x14ac:dyDescent="0.15">
      <c r="A21" s="11" t="s">
        <v>52</v>
      </c>
      <c r="B21" s="12" t="s">
        <v>75</v>
      </c>
      <c r="C21" s="12" t="s">
        <v>73</v>
      </c>
      <c r="D21" s="13" t="s">
        <v>76</v>
      </c>
      <c r="E21" s="13" t="s">
        <v>77</v>
      </c>
      <c r="F21" s="12" t="s">
        <v>78</v>
      </c>
      <c r="G21" s="14">
        <v>0.1</v>
      </c>
      <c r="H21" s="15"/>
      <c r="I21" s="20"/>
      <c r="J21" s="20"/>
      <c r="K21" s="17"/>
      <c r="L21" s="17"/>
    </row>
    <row r="22" spans="1:12" ht="15.75" customHeight="1" x14ac:dyDescent="0.15">
      <c r="A22" s="4" t="s">
        <v>59</v>
      </c>
      <c r="B22" s="5" t="s">
        <v>79</v>
      </c>
      <c r="C22" s="5" t="s">
        <v>73</v>
      </c>
      <c r="D22" s="6" t="s">
        <v>80</v>
      </c>
      <c r="E22" s="6" t="s">
        <v>77</v>
      </c>
      <c r="F22" s="5" t="s">
        <v>78</v>
      </c>
      <c r="G22" s="7"/>
      <c r="H22" s="8"/>
      <c r="I22" s="16"/>
      <c r="J22" s="16"/>
      <c r="K22" s="18"/>
      <c r="L22" s="18"/>
    </row>
    <row r="23" spans="1:12" ht="15.75" customHeight="1" x14ac:dyDescent="0.15">
      <c r="A23" s="11" t="s">
        <v>81</v>
      </c>
      <c r="B23" s="12" t="s">
        <v>82</v>
      </c>
      <c r="C23" s="12" t="s">
        <v>73</v>
      </c>
      <c r="D23" s="13" t="s">
        <v>83</v>
      </c>
      <c r="E23" s="13" t="s">
        <v>77</v>
      </c>
      <c r="F23" s="12" t="s">
        <v>84</v>
      </c>
      <c r="G23" s="14">
        <v>1</v>
      </c>
      <c r="H23" s="15"/>
      <c r="I23" s="20"/>
      <c r="J23" s="20"/>
      <c r="K23" s="17"/>
      <c r="L23" s="17"/>
    </row>
    <row r="24" spans="1:12" ht="15.75" customHeight="1" x14ac:dyDescent="0.15">
      <c r="A24" s="4" t="s">
        <v>85</v>
      </c>
      <c r="B24" s="5" t="s">
        <v>86</v>
      </c>
      <c r="C24" s="5" t="s">
        <v>87</v>
      </c>
      <c r="D24" s="6" t="s">
        <v>46</v>
      </c>
      <c r="E24" s="6" t="s">
        <v>11</v>
      </c>
      <c r="F24" s="5" t="s">
        <v>78</v>
      </c>
      <c r="G24" s="7">
        <v>1</v>
      </c>
      <c r="H24" s="8"/>
      <c r="I24" s="16"/>
      <c r="J24" s="16"/>
      <c r="K24" s="18"/>
      <c r="L24" s="18"/>
    </row>
    <row r="25" spans="1:12" ht="15.75" customHeight="1" x14ac:dyDescent="0.15">
      <c r="A25" s="11" t="s">
        <v>88</v>
      </c>
      <c r="B25" s="12" t="s">
        <v>89</v>
      </c>
      <c r="C25" s="12" t="s">
        <v>73</v>
      </c>
      <c r="D25" s="13" t="s">
        <v>46</v>
      </c>
      <c r="E25" s="13" t="s">
        <v>11</v>
      </c>
      <c r="F25" s="12" t="s">
        <v>90</v>
      </c>
      <c r="G25" s="14">
        <v>1</v>
      </c>
      <c r="H25" s="15"/>
      <c r="I25" s="20"/>
      <c r="J25" s="20"/>
      <c r="K25" s="17"/>
      <c r="L25" s="17"/>
    </row>
    <row r="26" spans="1:12" ht="15.75" customHeight="1" x14ac:dyDescent="0.15">
      <c r="A26" s="4" t="s">
        <v>91</v>
      </c>
      <c r="B26" s="5" t="s">
        <v>92</v>
      </c>
      <c r="C26" s="5" t="s">
        <v>87</v>
      </c>
      <c r="D26" s="6" t="s">
        <v>46</v>
      </c>
      <c r="E26" s="6" t="s">
        <v>11</v>
      </c>
      <c r="F26" s="5" t="s">
        <v>93</v>
      </c>
      <c r="G26" s="7">
        <v>1</v>
      </c>
      <c r="H26" s="8"/>
      <c r="I26" s="16"/>
      <c r="J26" s="16"/>
      <c r="K26" s="18"/>
      <c r="L26" s="18"/>
    </row>
    <row r="27" spans="1:12" ht="15.75" customHeight="1" x14ac:dyDescent="0.15">
      <c r="A27" s="11" t="s">
        <v>94</v>
      </c>
      <c r="B27" s="12" t="s">
        <v>95</v>
      </c>
      <c r="C27" s="12" t="s">
        <v>33</v>
      </c>
      <c r="D27" s="13" t="s">
        <v>22</v>
      </c>
      <c r="E27" s="13" t="s">
        <v>22</v>
      </c>
      <c r="F27" s="12" t="s">
        <v>96</v>
      </c>
      <c r="G27" s="14">
        <v>1</v>
      </c>
      <c r="H27" s="15"/>
      <c r="I27" s="20"/>
      <c r="J27" s="20"/>
      <c r="K27" s="17"/>
      <c r="L27" s="17"/>
    </row>
    <row r="28" spans="1:12" ht="15.75" customHeight="1" x14ac:dyDescent="0.15">
      <c r="A28" s="4" t="s">
        <v>97</v>
      </c>
      <c r="B28" s="5" t="s">
        <v>98</v>
      </c>
      <c r="C28" s="5" t="s">
        <v>37</v>
      </c>
      <c r="D28" s="6" t="s">
        <v>22</v>
      </c>
      <c r="E28" s="6" t="s">
        <v>22</v>
      </c>
      <c r="F28" s="5" t="s">
        <v>99</v>
      </c>
      <c r="G28" s="7">
        <v>1</v>
      </c>
      <c r="H28" s="8"/>
      <c r="I28" s="20"/>
      <c r="J28" s="20"/>
      <c r="K28" s="18"/>
      <c r="L28" s="18"/>
    </row>
    <row r="29" spans="1:12" ht="15.75" customHeight="1" x14ac:dyDescent="0.15">
      <c r="A29" s="11" t="s">
        <v>100</v>
      </c>
      <c r="B29" s="12" t="s">
        <v>101</v>
      </c>
      <c r="C29" s="12" t="s">
        <v>41</v>
      </c>
      <c r="D29" s="13" t="s">
        <v>22</v>
      </c>
      <c r="E29" s="13" t="s">
        <v>22</v>
      </c>
      <c r="F29" s="12" t="s">
        <v>102</v>
      </c>
      <c r="G29" s="14">
        <v>1</v>
      </c>
      <c r="H29" s="15"/>
      <c r="I29" s="16"/>
      <c r="J29" s="16"/>
      <c r="K29" s="17"/>
      <c r="L29" s="17"/>
    </row>
    <row r="30" spans="1:12" ht="15.75" customHeight="1" x14ac:dyDescent="0.15">
      <c r="A30" s="4" t="s">
        <v>103</v>
      </c>
      <c r="B30" s="5" t="s">
        <v>104</v>
      </c>
      <c r="C30" s="5" t="s">
        <v>105</v>
      </c>
      <c r="D30" s="6" t="s">
        <v>22</v>
      </c>
      <c r="E30" s="6" t="s">
        <v>22</v>
      </c>
      <c r="F30" s="5" t="s">
        <v>106</v>
      </c>
      <c r="G30" s="7">
        <v>1</v>
      </c>
      <c r="H30" s="8"/>
      <c r="I30" s="20"/>
      <c r="J30" s="20"/>
      <c r="K30" s="18"/>
      <c r="L30" s="18"/>
    </row>
    <row r="31" spans="1:12" ht="15.75" customHeight="1" x14ac:dyDescent="0.15">
      <c r="A31" s="11"/>
      <c r="B31" s="12" t="s">
        <v>66</v>
      </c>
      <c r="C31" s="12" t="s">
        <v>26</v>
      </c>
      <c r="D31" s="13"/>
      <c r="E31" s="13"/>
      <c r="F31" s="12" t="s">
        <v>107</v>
      </c>
      <c r="G31" s="14"/>
      <c r="H31" s="22"/>
      <c r="I31" s="16"/>
      <c r="J31" s="16"/>
      <c r="K31" s="17"/>
      <c r="L31" s="17"/>
    </row>
    <row r="32" spans="1:12" ht="13" x14ac:dyDescent="0.15">
      <c r="A32" s="23" t="s">
        <v>108</v>
      </c>
      <c r="B32" s="5"/>
      <c r="C32" s="5"/>
      <c r="D32" s="6"/>
      <c r="E32" s="6"/>
      <c r="F32" s="5"/>
      <c r="G32" s="7"/>
      <c r="H32" s="22"/>
      <c r="I32" s="20"/>
      <c r="J32" s="20"/>
      <c r="K32" s="18"/>
      <c r="L32" s="18"/>
    </row>
    <row r="33" spans="1:13" ht="13" x14ac:dyDescent="0.15">
      <c r="A33" s="11" t="s">
        <v>7</v>
      </c>
      <c r="B33" s="12" t="s">
        <v>109</v>
      </c>
      <c r="C33" s="12" t="s">
        <v>9</v>
      </c>
      <c r="D33" s="13" t="s">
        <v>10</v>
      </c>
      <c r="E33" s="13" t="s">
        <v>110</v>
      </c>
      <c r="F33" s="12" t="s">
        <v>12</v>
      </c>
      <c r="G33" s="14"/>
      <c r="H33" s="22"/>
      <c r="I33" s="16"/>
      <c r="J33" s="16"/>
      <c r="K33" s="17"/>
      <c r="L33" s="17"/>
    </row>
    <row r="34" spans="1:13" ht="13" x14ac:dyDescent="0.15">
      <c r="A34" s="4" t="s">
        <v>13</v>
      </c>
      <c r="B34" s="5" t="s">
        <v>111</v>
      </c>
      <c r="C34" s="5" t="s">
        <v>9</v>
      </c>
      <c r="D34" s="6" t="s">
        <v>10</v>
      </c>
      <c r="E34" s="6" t="s">
        <v>11</v>
      </c>
      <c r="F34" s="5" t="s">
        <v>12</v>
      </c>
      <c r="G34" s="7"/>
      <c r="H34" s="22"/>
      <c r="I34" s="20"/>
      <c r="J34" s="20"/>
      <c r="K34" s="18"/>
      <c r="L34" s="18"/>
    </row>
    <row r="35" spans="1:13" ht="13" x14ac:dyDescent="0.15">
      <c r="A35" s="11" t="s">
        <v>15</v>
      </c>
      <c r="B35" s="12" t="s">
        <v>112</v>
      </c>
      <c r="C35" s="12" t="s">
        <v>9</v>
      </c>
      <c r="D35" s="13" t="s">
        <v>10</v>
      </c>
      <c r="E35" s="13" t="s">
        <v>11</v>
      </c>
      <c r="F35" s="12" t="s">
        <v>12</v>
      </c>
      <c r="G35" s="14"/>
      <c r="H35" s="22"/>
      <c r="I35" s="16"/>
      <c r="J35" s="16"/>
      <c r="K35" s="17"/>
      <c r="L35" s="17"/>
    </row>
    <row r="36" spans="1:13" ht="13" x14ac:dyDescent="0.15">
      <c r="A36" s="4" t="s">
        <v>19</v>
      </c>
      <c r="B36" s="5" t="s">
        <v>113</v>
      </c>
      <c r="C36" s="5" t="s">
        <v>9</v>
      </c>
      <c r="D36" s="6" t="s">
        <v>10</v>
      </c>
      <c r="E36" s="6" t="s">
        <v>110</v>
      </c>
      <c r="F36" s="5" t="s">
        <v>30</v>
      </c>
      <c r="G36" s="7"/>
      <c r="H36" s="22"/>
      <c r="I36" s="20"/>
      <c r="J36" s="20"/>
      <c r="K36" s="18"/>
      <c r="L36" s="18"/>
    </row>
    <row r="37" spans="1:13" ht="13" x14ac:dyDescent="0.15">
      <c r="A37" s="11" t="s">
        <v>24</v>
      </c>
      <c r="B37" s="12" t="s">
        <v>114</v>
      </c>
      <c r="C37" s="12" t="s">
        <v>115</v>
      </c>
      <c r="D37" s="13" t="s">
        <v>10</v>
      </c>
      <c r="E37" s="13" t="s">
        <v>110</v>
      </c>
      <c r="F37" s="12" t="s">
        <v>30</v>
      </c>
      <c r="G37" s="14"/>
      <c r="H37" s="22"/>
      <c r="I37" s="16"/>
      <c r="J37" s="16"/>
      <c r="K37" s="17"/>
      <c r="L37" s="17"/>
    </row>
    <row r="38" spans="1:13" ht="13" x14ac:dyDescent="0.15">
      <c r="A38" s="4" t="s">
        <v>28</v>
      </c>
      <c r="B38" s="5" t="s">
        <v>116</v>
      </c>
      <c r="C38" s="5" t="s">
        <v>117</v>
      </c>
      <c r="D38" s="6" t="s">
        <v>10</v>
      </c>
      <c r="E38" s="6" t="s">
        <v>11</v>
      </c>
      <c r="F38" s="5" t="s">
        <v>30</v>
      </c>
      <c r="G38" s="7"/>
      <c r="H38" s="22"/>
      <c r="I38" s="20"/>
      <c r="J38" s="20"/>
      <c r="K38" s="18"/>
      <c r="L38" s="18"/>
    </row>
    <row r="39" spans="1:13" ht="13" x14ac:dyDescent="0.15">
      <c r="A39" s="11" t="s">
        <v>31</v>
      </c>
      <c r="B39" s="12" t="s">
        <v>118</v>
      </c>
      <c r="C39" s="12" t="s">
        <v>119</v>
      </c>
      <c r="D39" s="13" t="s">
        <v>18</v>
      </c>
      <c r="E39" s="13" t="s">
        <v>120</v>
      </c>
      <c r="F39" s="12" t="s">
        <v>30</v>
      </c>
      <c r="G39" s="14"/>
      <c r="H39" s="22"/>
      <c r="I39" s="24"/>
      <c r="J39" s="25"/>
      <c r="K39" s="25"/>
      <c r="L39" s="25"/>
    </row>
    <row r="40" spans="1:13" ht="13" x14ac:dyDescent="0.15">
      <c r="A40" s="4" t="s">
        <v>35</v>
      </c>
      <c r="B40" s="5" t="s">
        <v>121</v>
      </c>
      <c r="C40" s="5" t="s">
        <v>9</v>
      </c>
      <c r="D40" s="6" t="s">
        <v>10</v>
      </c>
      <c r="E40" s="6" t="s">
        <v>22</v>
      </c>
      <c r="F40" s="5" t="s">
        <v>30</v>
      </c>
      <c r="G40" s="7">
        <v>0.2</v>
      </c>
      <c r="H40" s="22"/>
      <c r="I40" s="24"/>
      <c r="J40" s="25"/>
      <c r="K40" s="25"/>
      <c r="L40" s="25"/>
    </row>
    <row r="41" spans="1:13" ht="14" x14ac:dyDescent="0.15">
      <c r="A41" s="26" t="s">
        <v>39</v>
      </c>
      <c r="B41" s="27" t="s">
        <v>122</v>
      </c>
      <c r="C41" s="27" t="s">
        <v>9</v>
      </c>
      <c r="D41" s="28" t="s">
        <v>10</v>
      </c>
      <c r="E41" s="28" t="s">
        <v>22</v>
      </c>
      <c r="F41" s="27" t="s">
        <v>30</v>
      </c>
      <c r="G41" s="29">
        <v>0.05</v>
      </c>
      <c r="H41" s="22"/>
      <c r="I41" s="24"/>
      <c r="J41" s="25"/>
      <c r="K41" s="25"/>
      <c r="L41" s="25"/>
    </row>
    <row r="42" spans="1:13" ht="13" x14ac:dyDescent="0.15">
      <c r="I42" s="22"/>
      <c r="J42" s="24"/>
      <c r="K42" s="25"/>
      <c r="L42" s="25"/>
      <c r="M42" s="25"/>
    </row>
  </sheetData>
  <dataValidations count="4">
    <dataValidation type="list" allowBlank="1" sqref="E2:E41" xr:uid="{00000000-0002-0000-0000-000000000000}">
      <formula1>"Back Up Tech,TA,Back Up Tech #2,Scan tech ,Porter,None,Alternate Porter"</formula1>
    </dataValidation>
    <dataValidation allowBlank="1" showDropDown="1" sqref="F2:F41 A2:C41" xr:uid="{00000000-0002-0000-0000-000001000000}"/>
    <dataValidation type="list" allowBlank="1" sqref="D2:D41" xr:uid="{00000000-0002-0000-0000-000002000000}">
      <formula1>"Back Up Tech,TA,Back up Tech #2,Scan Tech,None,Porter,Radiologist"</formula1>
    </dataValidation>
    <dataValidation type="custom" allowBlank="1" showDropDown="1" sqref="G2:G41" xr:uid="{00000000-0002-0000-0000-000003000000}">
      <formula1>AND(ISNUMBER(G2),(NOT(OR(NOT(ISERROR(DATEVALUE(G2))), AND(ISNUMBER(G2), LEFT(CELL("format", G2))="D")))))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27"/>
  <sheetViews>
    <sheetView workbookViewId="0">
      <pane ySplit="1" topLeftCell="A2" activePane="bottomLeft" state="frozen"/>
      <selection pane="bottomLeft" activeCell="C9" sqref="C9"/>
    </sheetView>
  </sheetViews>
  <sheetFormatPr baseColWidth="10" defaultColWidth="44.1640625" defaultRowHeight="15.75" customHeight="1" x14ac:dyDescent="0.15"/>
  <sheetData>
    <row r="1" spans="1:4" ht="15.75" customHeight="1" x14ac:dyDescent="0.15">
      <c r="A1" s="30" t="s">
        <v>123</v>
      </c>
      <c r="B1" s="31" t="s">
        <v>124</v>
      </c>
      <c r="C1" s="31" t="s">
        <v>125</v>
      </c>
      <c r="D1" s="32" t="s">
        <v>126</v>
      </c>
    </row>
    <row r="2" spans="1:4" ht="15.75" customHeight="1" x14ac:dyDescent="0.15">
      <c r="A2" s="33" t="s">
        <v>20</v>
      </c>
      <c r="B2" s="21" t="s">
        <v>127</v>
      </c>
      <c r="C2" s="34" t="s">
        <v>128</v>
      </c>
      <c r="D2" s="35" t="s">
        <v>129</v>
      </c>
    </row>
    <row r="3" spans="1:4" ht="15.75" customHeight="1" x14ac:dyDescent="0.15">
      <c r="A3" s="36" t="s">
        <v>25</v>
      </c>
      <c r="B3" s="37" t="s">
        <v>130</v>
      </c>
      <c r="C3" s="38" t="s">
        <v>131</v>
      </c>
      <c r="D3" s="39" t="s">
        <v>132</v>
      </c>
    </row>
    <row r="4" spans="1:4" ht="15.75" customHeight="1" x14ac:dyDescent="0.15">
      <c r="A4" s="36" t="s">
        <v>32</v>
      </c>
      <c r="B4" s="37" t="s">
        <v>133</v>
      </c>
      <c r="C4" s="40" t="s">
        <v>134</v>
      </c>
      <c r="D4" s="41" t="s">
        <v>135</v>
      </c>
    </row>
    <row r="5" spans="1:4" ht="15.75" customHeight="1" x14ac:dyDescent="0.15">
      <c r="A5" s="42" t="s">
        <v>36</v>
      </c>
      <c r="B5" s="43" t="s">
        <v>136</v>
      </c>
      <c r="C5" s="38" t="s">
        <v>137</v>
      </c>
      <c r="D5" s="39" t="s">
        <v>138</v>
      </c>
    </row>
    <row r="6" spans="1:4" ht="15.75" customHeight="1" x14ac:dyDescent="0.15">
      <c r="A6" s="36" t="s">
        <v>40</v>
      </c>
      <c r="B6" s="37" t="s">
        <v>139</v>
      </c>
      <c r="C6" s="40" t="s">
        <v>140</v>
      </c>
      <c r="D6" s="41" t="s">
        <v>141</v>
      </c>
    </row>
    <row r="7" spans="1:4" ht="15.75" customHeight="1" x14ac:dyDescent="0.15">
      <c r="A7" s="42" t="s">
        <v>44</v>
      </c>
      <c r="B7" s="43" t="s">
        <v>142</v>
      </c>
      <c r="C7" s="38"/>
      <c r="D7" s="39" t="s">
        <v>143</v>
      </c>
    </row>
    <row r="8" spans="1:4" ht="15.75" customHeight="1" x14ac:dyDescent="0.15">
      <c r="A8" s="36" t="s">
        <v>49</v>
      </c>
      <c r="B8" s="37" t="s">
        <v>144</v>
      </c>
      <c r="C8" s="40" t="s">
        <v>145</v>
      </c>
      <c r="D8" s="41" t="s">
        <v>146</v>
      </c>
    </row>
    <row r="9" spans="1:4" ht="15.75" customHeight="1" x14ac:dyDescent="0.15">
      <c r="A9" s="42" t="s">
        <v>53</v>
      </c>
      <c r="B9" s="43"/>
      <c r="C9" s="38"/>
      <c r="D9" s="39"/>
    </row>
    <row r="10" spans="1:4" ht="15.75" customHeight="1" x14ac:dyDescent="0.15">
      <c r="A10" s="36" t="s">
        <v>56</v>
      </c>
      <c r="B10" s="37" t="s">
        <v>147</v>
      </c>
      <c r="C10" s="40" t="s">
        <v>148</v>
      </c>
      <c r="D10" s="41" t="s">
        <v>149</v>
      </c>
    </row>
    <row r="11" spans="1:4" ht="15.75" customHeight="1" x14ac:dyDescent="0.15">
      <c r="A11" s="42" t="s">
        <v>58</v>
      </c>
      <c r="B11" s="43"/>
      <c r="C11" s="38"/>
      <c r="D11" s="39" t="s">
        <v>150</v>
      </c>
    </row>
    <row r="12" spans="1:4" ht="15.75" customHeight="1" x14ac:dyDescent="0.15">
      <c r="A12" s="36" t="s">
        <v>60</v>
      </c>
      <c r="B12" s="37"/>
      <c r="C12" s="40" t="s">
        <v>151</v>
      </c>
      <c r="D12" s="41"/>
    </row>
    <row r="13" spans="1:4" ht="15.75" customHeight="1" x14ac:dyDescent="0.15">
      <c r="A13" s="42" t="s">
        <v>152</v>
      </c>
      <c r="B13" s="43" t="s">
        <v>153</v>
      </c>
      <c r="C13" s="38" t="s">
        <v>154</v>
      </c>
      <c r="D13" s="39" t="s">
        <v>155</v>
      </c>
    </row>
    <row r="14" spans="1:4" ht="15.75" customHeight="1" x14ac:dyDescent="0.15">
      <c r="A14" s="36" t="s">
        <v>66</v>
      </c>
      <c r="B14" s="37" t="s">
        <v>156</v>
      </c>
      <c r="C14" s="40" t="s">
        <v>157</v>
      </c>
      <c r="D14" s="41" t="s">
        <v>158</v>
      </c>
    </row>
    <row r="15" spans="1:4" ht="15.75" customHeight="1" x14ac:dyDescent="0.15">
      <c r="A15" s="42" t="s">
        <v>68</v>
      </c>
      <c r="B15" s="43" t="s">
        <v>159</v>
      </c>
      <c r="C15" s="38"/>
      <c r="D15" s="39"/>
    </row>
    <row r="16" spans="1:4" ht="15.75" customHeight="1" x14ac:dyDescent="0.15">
      <c r="A16" s="36" t="s">
        <v>72</v>
      </c>
      <c r="B16" s="37"/>
      <c r="C16" s="40"/>
      <c r="D16" s="41"/>
    </row>
    <row r="17" spans="1:4" ht="15.75" customHeight="1" x14ac:dyDescent="0.15">
      <c r="A17" s="42" t="s">
        <v>75</v>
      </c>
      <c r="B17" s="43"/>
      <c r="C17" s="38"/>
      <c r="D17" s="39"/>
    </row>
    <row r="18" spans="1:4" ht="15.75" customHeight="1" x14ac:dyDescent="0.15">
      <c r="A18" s="36" t="s">
        <v>79</v>
      </c>
      <c r="B18" s="37"/>
      <c r="C18" s="40"/>
      <c r="D18" s="41"/>
    </row>
    <row r="19" spans="1:4" ht="15.75" customHeight="1" x14ac:dyDescent="0.15">
      <c r="A19" s="42" t="s">
        <v>82</v>
      </c>
      <c r="B19" s="43" t="s">
        <v>160</v>
      </c>
      <c r="C19" s="38" t="s">
        <v>84</v>
      </c>
      <c r="D19" s="39" t="s">
        <v>161</v>
      </c>
    </row>
    <row r="20" spans="1:4" ht="15.75" customHeight="1" x14ac:dyDescent="0.15">
      <c r="A20" s="36" t="s">
        <v>86</v>
      </c>
      <c r="B20" s="37"/>
      <c r="C20" s="40"/>
      <c r="D20" s="41"/>
    </row>
    <row r="21" spans="1:4" ht="15.75" customHeight="1" x14ac:dyDescent="0.15">
      <c r="A21" s="42" t="s">
        <v>89</v>
      </c>
      <c r="B21" s="43" t="s">
        <v>162</v>
      </c>
      <c r="C21" s="38" t="s">
        <v>163</v>
      </c>
      <c r="D21" s="39" t="s">
        <v>164</v>
      </c>
    </row>
    <row r="22" spans="1:4" ht="15.75" customHeight="1" x14ac:dyDescent="0.15">
      <c r="A22" s="36" t="s">
        <v>92</v>
      </c>
      <c r="B22" s="37"/>
      <c r="C22" s="40" t="s">
        <v>165</v>
      </c>
      <c r="D22" s="41" t="s">
        <v>166</v>
      </c>
    </row>
    <row r="23" spans="1:4" ht="15.75" customHeight="1" x14ac:dyDescent="0.15">
      <c r="A23" s="42" t="s">
        <v>95</v>
      </c>
      <c r="B23" s="43" t="s">
        <v>167</v>
      </c>
      <c r="C23" s="38" t="s">
        <v>168</v>
      </c>
      <c r="D23" s="39" t="s">
        <v>169</v>
      </c>
    </row>
    <row r="24" spans="1:4" ht="15.75" customHeight="1" x14ac:dyDescent="0.15">
      <c r="A24" s="36" t="s">
        <v>98</v>
      </c>
      <c r="B24" s="37"/>
      <c r="C24" s="40" t="s">
        <v>170</v>
      </c>
      <c r="D24" s="41" t="s">
        <v>171</v>
      </c>
    </row>
    <row r="25" spans="1:4" ht="15.75" customHeight="1" x14ac:dyDescent="0.15">
      <c r="A25" s="42" t="s">
        <v>101</v>
      </c>
      <c r="B25" s="43" t="s">
        <v>172</v>
      </c>
      <c r="C25" s="38" t="s">
        <v>173</v>
      </c>
      <c r="D25" s="39" t="s">
        <v>174</v>
      </c>
    </row>
    <row r="26" spans="1:4" ht="15.75" customHeight="1" x14ac:dyDescent="0.15">
      <c r="A26" s="36" t="s">
        <v>104</v>
      </c>
      <c r="B26" s="37" t="s">
        <v>175</v>
      </c>
      <c r="C26" s="40"/>
      <c r="D26" s="41" t="s">
        <v>176</v>
      </c>
    </row>
    <row r="27" spans="1:4" ht="15.75" customHeight="1" x14ac:dyDescent="0.15">
      <c r="A27" s="44" t="s">
        <v>66</v>
      </c>
      <c r="B27" s="45" t="s">
        <v>177</v>
      </c>
      <c r="C27" s="46" t="s">
        <v>178</v>
      </c>
      <c r="D27" s="47" t="s">
        <v>179</v>
      </c>
    </row>
  </sheetData>
  <dataValidations count="1">
    <dataValidation allowBlank="1" showDropDown="1" sqref="A2:B27" xr:uid="{00000000-0002-0000-0100-000000000000}"/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55C68-5ABE-4E0B-A24F-79BD2B72CD12}">
  <dimension ref="A1:S165"/>
  <sheetViews>
    <sheetView workbookViewId="0">
      <pane ySplit="1" topLeftCell="A2" activePane="bottomLeft" state="frozen"/>
      <selection pane="bottomLeft" activeCell="B12" sqref="B12"/>
    </sheetView>
  </sheetViews>
  <sheetFormatPr baseColWidth="10" defaultColWidth="12.5" defaultRowHeight="13" x14ac:dyDescent="0.15"/>
  <cols>
    <col min="1" max="1" width="6.83203125" style="65" customWidth="1"/>
    <col min="2" max="2" width="34.5" style="66" customWidth="1"/>
    <col min="3" max="3" width="14.5" customWidth="1"/>
    <col min="4" max="4" width="15" style="95" customWidth="1"/>
    <col min="5" max="5" width="3.83203125" style="71" customWidth="1"/>
    <col min="7" max="7" width="31.83203125" customWidth="1"/>
    <col min="9" max="9" width="12.5" style="95"/>
  </cols>
  <sheetData>
    <row r="1" spans="1:11" ht="14" x14ac:dyDescent="0.15">
      <c r="A1" s="65" t="s">
        <v>180</v>
      </c>
      <c r="B1" s="68" t="s">
        <v>123</v>
      </c>
      <c r="C1" s="69" t="s">
        <v>181</v>
      </c>
      <c r="D1" s="88" t="s">
        <v>182</v>
      </c>
      <c r="E1" s="48"/>
      <c r="F1" s="53" t="s">
        <v>180</v>
      </c>
      <c r="G1" s="53" t="s">
        <v>1</v>
      </c>
      <c r="H1" s="53" t="s">
        <v>183</v>
      </c>
      <c r="I1" s="96" t="s">
        <v>184</v>
      </c>
      <c r="J1" s="53" t="s">
        <v>185</v>
      </c>
      <c r="K1" s="53" t="s">
        <v>186</v>
      </c>
    </row>
    <row r="2" spans="1:11" x14ac:dyDescent="0.15">
      <c r="A2" s="65">
        <v>4</v>
      </c>
      <c r="B2" s="70" t="s">
        <v>20</v>
      </c>
      <c r="C2" s="56">
        <v>45722</v>
      </c>
      <c r="D2" s="89">
        <v>140</v>
      </c>
      <c r="F2" s="58">
        <v>4</v>
      </c>
      <c r="G2" s="59" t="s">
        <v>20</v>
      </c>
      <c r="H2">
        <f>COUNT(D2:D7)</f>
        <v>6</v>
      </c>
      <c r="I2" s="95">
        <f>AVERAGE(D2:D7)</f>
        <v>191.83333333333334</v>
      </c>
      <c r="J2" s="49">
        <f>MIN(D2:D7)</f>
        <v>125</v>
      </c>
      <c r="K2" s="49">
        <f>MAX(D2:D7)</f>
        <v>309</v>
      </c>
    </row>
    <row r="3" spans="1:11" x14ac:dyDescent="0.15">
      <c r="A3" s="65">
        <v>4</v>
      </c>
      <c r="B3" s="70" t="s">
        <v>20</v>
      </c>
      <c r="C3" s="56">
        <v>45729</v>
      </c>
      <c r="D3" s="90">
        <v>132</v>
      </c>
      <c r="F3" s="65"/>
      <c r="G3" s="65"/>
    </row>
    <row r="4" spans="1:11" x14ac:dyDescent="0.15">
      <c r="A4" s="65">
        <v>4</v>
      </c>
      <c r="B4" s="70" t="s">
        <v>20</v>
      </c>
      <c r="C4" s="56">
        <v>45729</v>
      </c>
      <c r="D4" s="90">
        <v>309</v>
      </c>
      <c r="F4" s="65"/>
      <c r="G4" s="65"/>
    </row>
    <row r="5" spans="1:11" x14ac:dyDescent="0.15">
      <c r="A5" s="65">
        <v>4</v>
      </c>
      <c r="B5" s="70" t="s">
        <v>20</v>
      </c>
      <c r="C5" s="56">
        <v>45740</v>
      </c>
      <c r="D5" s="90">
        <v>218</v>
      </c>
      <c r="F5" s="65"/>
      <c r="G5" s="65"/>
    </row>
    <row r="6" spans="1:11" x14ac:dyDescent="0.15">
      <c r="A6" s="65">
        <v>4</v>
      </c>
      <c r="B6" s="70" t="s">
        <v>20</v>
      </c>
      <c r="C6" s="56">
        <v>45740</v>
      </c>
      <c r="D6" s="90">
        <v>227</v>
      </c>
      <c r="F6" s="65"/>
      <c r="G6" s="65"/>
    </row>
    <row r="7" spans="1:11" x14ac:dyDescent="0.15">
      <c r="A7" s="65">
        <v>4</v>
      </c>
      <c r="B7" s="70" t="s">
        <v>20</v>
      </c>
      <c r="C7" s="56">
        <v>45740</v>
      </c>
      <c r="D7" s="90">
        <v>125</v>
      </c>
      <c r="F7" s="65"/>
      <c r="G7" s="65"/>
    </row>
    <row r="8" spans="1:11" x14ac:dyDescent="0.15">
      <c r="A8" s="72"/>
      <c r="B8" s="73"/>
      <c r="C8" s="74"/>
      <c r="D8" s="91"/>
      <c r="F8" s="57"/>
      <c r="G8" s="57"/>
      <c r="H8" s="48"/>
      <c r="I8" s="91"/>
      <c r="J8" s="48"/>
      <c r="K8" s="48"/>
    </row>
    <row r="9" spans="1:11" ht="28" x14ac:dyDescent="0.15">
      <c r="A9" s="65">
        <v>5</v>
      </c>
      <c r="B9" s="75" t="s">
        <v>25</v>
      </c>
      <c r="C9" s="56">
        <v>45722</v>
      </c>
      <c r="D9" s="92">
        <v>20.98</v>
      </c>
      <c r="F9" s="65">
        <v>5</v>
      </c>
      <c r="G9" s="76" t="s">
        <v>25</v>
      </c>
      <c r="H9">
        <f>COUNT(D9:D19)</f>
        <v>11</v>
      </c>
      <c r="I9" s="95">
        <f>AVERAGE(D9:D19)</f>
        <v>62.384545454545453</v>
      </c>
      <c r="J9" s="49">
        <f>MIN(D9:D19)</f>
        <v>20.98</v>
      </c>
      <c r="K9" s="49">
        <f>MAX(D9:D19)</f>
        <v>121</v>
      </c>
    </row>
    <row r="10" spans="1:11" ht="28" x14ac:dyDescent="0.15">
      <c r="A10" s="65">
        <v>5</v>
      </c>
      <c r="B10" s="75" t="s">
        <v>25</v>
      </c>
      <c r="C10" s="56">
        <v>45722</v>
      </c>
      <c r="D10" s="90">
        <v>64</v>
      </c>
      <c r="F10" s="65"/>
      <c r="G10" s="65"/>
    </row>
    <row r="11" spans="1:11" ht="28" x14ac:dyDescent="0.15">
      <c r="A11" s="65">
        <v>5</v>
      </c>
      <c r="B11" s="75" t="s">
        <v>25</v>
      </c>
      <c r="C11" s="56">
        <v>45722</v>
      </c>
      <c r="D11" s="90">
        <v>121</v>
      </c>
      <c r="F11" s="49"/>
    </row>
    <row r="12" spans="1:11" ht="28" x14ac:dyDescent="0.15">
      <c r="A12" s="65">
        <v>5</v>
      </c>
      <c r="B12" s="75" t="s">
        <v>25</v>
      </c>
      <c r="C12" s="56">
        <v>45722</v>
      </c>
      <c r="D12" s="90">
        <v>49.87</v>
      </c>
    </row>
    <row r="13" spans="1:11" ht="28" x14ac:dyDescent="0.15">
      <c r="A13" s="65">
        <v>5</v>
      </c>
      <c r="B13" s="75" t="s">
        <v>25</v>
      </c>
      <c r="C13" s="56">
        <v>45729</v>
      </c>
      <c r="D13" s="90">
        <v>51.4</v>
      </c>
    </row>
    <row r="14" spans="1:11" ht="28" x14ac:dyDescent="0.15">
      <c r="A14" s="65">
        <v>5</v>
      </c>
      <c r="B14" s="75" t="s">
        <v>25</v>
      </c>
      <c r="C14" s="56">
        <v>45729</v>
      </c>
      <c r="D14" s="90">
        <v>95</v>
      </c>
    </row>
    <row r="15" spans="1:11" ht="28" x14ac:dyDescent="0.15">
      <c r="A15" s="65">
        <v>5</v>
      </c>
      <c r="B15" s="75" t="s">
        <v>25</v>
      </c>
      <c r="C15" s="56">
        <v>45729</v>
      </c>
      <c r="D15" s="90">
        <v>78</v>
      </c>
    </row>
    <row r="16" spans="1:11" ht="28" x14ac:dyDescent="0.15">
      <c r="A16" s="65">
        <v>5</v>
      </c>
      <c r="B16" s="75" t="s">
        <v>25</v>
      </c>
      <c r="C16" s="56">
        <v>45740</v>
      </c>
      <c r="D16" s="90">
        <v>28.37</v>
      </c>
    </row>
    <row r="17" spans="1:11" ht="28" x14ac:dyDescent="0.15">
      <c r="A17" s="65">
        <v>5</v>
      </c>
      <c r="B17" s="75" t="s">
        <v>25</v>
      </c>
      <c r="C17" s="56">
        <v>45740</v>
      </c>
      <c r="D17" s="90">
        <v>62</v>
      </c>
    </row>
    <row r="18" spans="1:11" ht="28" x14ac:dyDescent="0.15">
      <c r="A18" s="65">
        <v>5</v>
      </c>
      <c r="B18" s="75" t="s">
        <v>25</v>
      </c>
      <c r="C18" s="56">
        <v>45740</v>
      </c>
      <c r="D18" s="90">
        <v>68</v>
      </c>
    </row>
    <row r="19" spans="1:11" ht="28" x14ac:dyDescent="0.15">
      <c r="A19" s="65">
        <v>5</v>
      </c>
      <c r="B19" s="75" t="s">
        <v>25</v>
      </c>
      <c r="C19" s="56">
        <v>45740</v>
      </c>
      <c r="D19" s="90">
        <v>47.61</v>
      </c>
    </row>
    <row r="20" spans="1:11" x14ac:dyDescent="0.15">
      <c r="A20" s="72"/>
      <c r="B20" s="77"/>
      <c r="C20" s="78"/>
      <c r="D20" s="91"/>
      <c r="E20" s="48"/>
      <c r="F20" s="48"/>
      <c r="G20" s="48"/>
      <c r="H20" s="48"/>
      <c r="I20" s="91"/>
      <c r="J20" s="48"/>
      <c r="K20" s="48"/>
    </row>
    <row r="21" spans="1:11" ht="14" x14ac:dyDescent="0.15">
      <c r="A21" s="65">
        <v>7</v>
      </c>
      <c r="B21" s="75" t="s">
        <v>32</v>
      </c>
      <c r="C21" s="56">
        <v>45722</v>
      </c>
      <c r="D21" s="90">
        <v>344</v>
      </c>
      <c r="F21" s="79">
        <v>7</v>
      </c>
      <c r="G21" s="60" t="s">
        <v>32</v>
      </c>
      <c r="H21">
        <f>COUNT(D21:D30)</f>
        <v>10</v>
      </c>
      <c r="I21" s="95">
        <f>AVERAGE(D21:D30)</f>
        <v>190.1</v>
      </c>
      <c r="J21">
        <f>MIN(D21:D30)</f>
        <v>92</v>
      </c>
      <c r="K21">
        <f>MAX(D21:D30)</f>
        <v>347</v>
      </c>
    </row>
    <row r="22" spans="1:11" ht="14" x14ac:dyDescent="0.15">
      <c r="A22" s="65">
        <v>7</v>
      </c>
      <c r="B22" s="75" t="s">
        <v>32</v>
      </c>
      <c r="C22" s="56">
        <v>45722</v>
      </c>
      <c r="D22" s="90">
        <v>182</v>
      </c>
    </row>
    <row r="23" spans="1:11" ht="14" x14ac:dyDescent="0.15">
      <c r="A23" s="65">
        <v>7</v>
      </c>
      <c r="B23" s="75" t="s">
        <v>32</v>
      </c>
      <c r="C23" s="56">
        <v>45722</v>
      </c>
      <c r="D23" s="90">
        <v>92</v>
      </c>
    </row>
    <row r="24" spans="1:11" ht="14" x14ac:dyDescent="0.15">
      <c r="A24" s="65">
        <v>7</v>
      </c>
      <c r="B24" s="75" t="s">
        <v>32</v>
      </c>
      <c r="C24" s="56">
        <v>45722</v>
      </c>
      <c r="D24" s="90">
        <v>219</v>
      </c>
    </row>
    <row r="25" spans="1:11" ht="14" x14ac:dyDescent="0.15">
      <c r="A25" s="65">
        <v>7</v>
      </c>
      <c r="B25" s="75" t="s">
        <v>32</v>
      </c>
      <c r="C25" s="56">
        <v>45729</v>
      </c>
      <c r="D25" s="90">
        <v>347</v>
      </c>
    </row>
    <row r="26" spans="1:11" ht="14" x14ac:dyDescent="0.15">
      <c r="A26" s="65">
        <v>7</v>
      </c>
      <c r="B26" s="75" t="s">
        <v>32</v>
      </c>
      <c r="C26" s="56">
        <v>45729</v>
      </c>
      <c r="D26" s="90">
        <v>126</v>
      </c>
    </row>
    <row r="27" spans="1:11" ht="14" x14ac:dyDescent="0.15">
      <c r="A27" s="65">
        <v>7</v>
      </c>
      <c r="B27" s="75" t="s">
        <v>32</v>
      </c>
      <c r="C27" s="56">
        <v>45740</v>
      </c>
      <c r="D27" s="90">
        <v>114</v>
      </c>
    </row>
    <row r="28" spans="1:11" ht="14" x14ac:dyDescent="0.15">
      <c r="A28" s="65">
        <v>7</v>
      </c>
      <c r="B28" s="75" t="s">
        <v>32</v>
      </c>
      <c r="C28" s="56">
        <v>45740</v>
      </c>
      <c r="D28" s="90">
        <v>172</v>
      </c>
    </row>
    <row r="29" spans="1:11" ht="14" x14ac:dyDescent="0.15">
      <c r="A29" s="65">
        <v>7</v>
      </c>
      <c r="B29" s="75" t="s">
        <v>32</v>
      </c>
      <c r="C29" s="56">
        <v>45740</v>
      </c>
      <c r="D29" s="90">
        <v>139</v>
      </c>
    </row>
    <row r="30" spans="1:11" ht="14" x14ac:dyDescent="0.15">
      <c r="A30" s="65">
        <v>7</v>
      </c>
      <c r="B30" s="75" t="s">
        <v>32</v>
      </c>
      <c r="C30" s="56">
        <v>45740</v>
      </c>
      <c r="D30" s="90">
        <v>166</v>
      </c>
    </row>
    <row r="31" spans="1:11" x14ac:dyDescent="0.15">
      <c r="A31" s="72"/>
      <c r="B31" s="77"/>
      <c r="C31" s="50"/>
      <c r="D31" s="91"/>
      <c r="E31" s="48"/>
      <c r="F31" s="48"/>
      <c r="G31" s="48"/>
      <c r="H31" s="48"/>
      <c r="I31" s="91"/>
      <c r="J31" s="48"/>
      <c r="K31" s="48"/>
    </row>
    <row r="32" spans="1:11" ht="14" x14ac:dyDescent="0.15">
      <c r="A32" s="65">
        <v>8</v>
      </c>
      <c r="B32" s="64" t="s">
        <v>36</v>
      </c>
      <c r="C32" s="56">
        <v>45722</v>
      </c>
      <c r="D32" s="90">
        <v>80</v>
      </c>
      <c r="F32" s="65">
        <v>8</v>
      </c>
      <c r="G32" s="80" t="s">
        <v>36</v>
      </c>
      <c r="H32">
        <f>COUNT(D32:D38)</f>
        <v>7</v>
      </c>
      <c r="I32" s="95">
        <f>AVERAGE(D32:D38)</f>
        <v>136.00285714285715</v>
      </c>
      <c r="J32">
        <f>MIN(D32:D38)</f>
        <v>49.02</v>
      </c>
      <c r="K32">
        <f>MAX(D32:D38)</f>
        <v>314</v>
      </c>
    </row>
    <row r="33" spans="1:11" ht="14" x14ac:dyDescent="0.15">
      <c r="A33" s="65">
        <v>8</v>
      </c>
      <c r="B33" s="64" t="s">
        <v>36</v>
      </c>
      <c r="C33" s="56">
        <v>45722</v>
      </c>
      <c r="D33" s="90">
        <v>49.02</v>
      </c>
      <c r="F33" s="65"/>
      <c r="G33" s="65"/>
    </row>
    <row r="34" spans="1:11" ht="14" x14ac:dyDescent="0.15">
      <c r="A34" s="65">
        <v>8</v>
      </c>
      <c r="B34" s="64" t="s">
        <v>36</v>
      </c>
      <c r="C34" s="56">
        <v>45729</v>
      </c>
      <c r="D34" s="90">
        <v>78</v>
      </c>
      <c r="F34" s="65"/>
      <c r="G34" s="65"/>
    </row>
    <row r="35" spans="1:11" ht="14" x14ac:dyDescent="0.15">
      <c r="A35" s="65">
        <v>8</v>
      </c>
      <c r="B35" s="64" t="s">
        <v>36</v>
      </c>
      <c r="C35" s="56">
        <v>45729</v>
      </c>
      <c r="D35" s="90">
        <v>228</v>
      </c>
      <c r="F35" s="65"/>
      <c r="G35" s="65"/>
    </row>
    <row r="36" spans="1:11" ht="14" x14ac:dyDescent="0.15">
      <c r="A36" s="65">
        <v>8</v>
      </c>
      <c r="B36" s="67" t="s">
        <v>36</v>
      </c>
      <c r="C36" s="56">
        <v>45729</v>
      </c>
      <c r="D36" s="90">
        <v>314</v>
      </c>
      <c r="F36" s="65"/>
      <c r="G36" s="65"/>
    </row>
    <row r="37" spans="1:11" ht="14" x14ac:dyDescent="0.15">
      <c r="A37" s="65">
        <v>8</v>
      </c>
      <c r="B37" s="64" t="s">
        <v>36</v>
      </c>
      <c r="C37" s="56">
        <v>45740</v>
      </c>
      <c r="D37" s="90">
        <v>131</v>
      </c>
      <c r="F37" s="65"/>
      <c r="G37" s="65"/>
    </row>
    <row r="38" spans="1:11" ht="14" x14ac:dyDescent="0.15">
      <c r="A38" s="65">
        <v>8</v>
      </c>
      <c r="B38" s="64" t="s">
        <v>36</v>
      </c>
      <c r="C38" s="56">
        <v>45740</v>
      </c>
      <c r="D38" s="90">
        <v>72</v>
      </c>
      <c r="F38" s="65"/>
      <c r="G38" s="65"/>
    </row>
    <row r="39" spans="1:11" x14ac:dyDescent="0.15">
      <c r="A39" s="72"/>
      <c r="B39" s="77"/>
      <c r="C39" s="50"/>
      <c r="D39" s="91"/>
      <c r="E39" s="48"/>
      <c r="F39" s="57"/>
      <c r="G39" s="57"/>
      <c r="H39" s="48"/>
      <c r="I39" s="91"/>
      <c r="J39" s="48"/>
      <c r="K39" s="48"/>
    </row>
    <row r="40" spans="1:11" ht="14" x14ac:dyDescent="0.15">
      <c r="A40" s="65">
        <v>9</v>
      </c>
      <c r="B40" s="75" t="s">
        <v>40</v>
      </c>
      <c r="C40" s="56">
        <v>45722</v>
      </c>
      <c r="D40" s="93">
        <v>26.95</v>
      </c>
      <c r="F40" s="65">
        <v>9</v>
      </c>
      <c r="G40" s="81" t="s">
        <v>40</v>
      </c>
      <c r="H40">
        <f>COUNT(D40:D51)</f>
        <v>12</v>
      </c>
      <c r="I40" s="95">
        <f>AVERAGE(D40:D51)</f>
        <v>28.38</v>
      </c>
      <c r="J40" s="49">
        <f>MIN(D40:D51)</f>
        <v>7.77</v>
      </c>
      <c r="K40" s="49">
        <f>MAX(D40:D51)</f>
        <v>56.31</v>
      </c>
    </row>
    <row r="41" spans="1:11" ht="14" x14ac:dyDescent="0.15">
      <c r="A41" s="65">
        <v>9</v>
      </c>
      <c r="B41" s="75" t="s">
        <v>40</v>
      </c>
      <c r="C41" s="56">
        <v>45722</v>
      </c>
      <c r="D41" s="93">
        <v>31.06</v>
      </c>
    </row>
    <row r="42" spans="1:11" ht="14" x14ac:dyDescent="0.15">
      <c r="A42" s="65">
        <v>9</v>
      </c>
      <c r="B42" s="75" t="s">
        <v>40</v>
      </c>
      <c r="C42" s="56">
        <v>45722</v>
      </c>
      <c r="D42" s="93">
        <v>24.43</v>
      </c>
      <c r="G42" s="52"/>
    </row>
    <row r="43" spans="1:11" ht="14" x14ac:dyDescent="0.15">
      <c r="A43" s="65">
        <v>9</v>
      </c>
      <c r="B43" s="75" t="s">
        <v>40</v>
      </c>
      <c r="C43" s="56">
        <v>45722</v>
      </c>
      <c r="D43" s="90">
        <v>29.12</v>
      </c>
      <c r="G43" s="52"/>
    </row>
    <row r="44" spans="1:11" ht="14" x14ac:dyDescent="0.15">
      <c r="A44" s="65">
        <v>9</v>
      </c>
      <c r="B44" s="75" t="s">
        <v>40</v>
      </c>
      <c r="C44" s="56">
        <v>45722</v>
      </c>
      <c r="D44" s="90">
        <v>11.94</v>
      </c>
      <c r="G44" s="52"/>
    </row>
    <row r="45" spans="1:11" ht="14" x14ac:dyDescent="0.15">
      <c r="A45" s="65">
        <v>9</v>
      </c>
      <c r="B45" s="75" t="s">
        <v>40</v>
      </c>
      <c r="C45" s="56">
        <v>45722</v>
      </c>
      <c r="D45" s="94">
        <v>51.32</v>
      </c>
      <c r="G45" s="52"/>
    </row>
    <row r="46" spans="1:11" ht="14" x14ac:dyDescent="0.15">
      <c r="A46" s="65">
        <v>9</v>
      </c>
      <c r="B46" s="75" t="s">
        <v>40</v>
      </c>
      <c r="C46" s="56">
        <v>45729</v>
      </c>
      <c r="D46" s="90">
        <v>22.55</v>
      </c>
      <c r="G46" s="52"/>
    </row>
    <row r="47" spans="1:11" ht="14" x14ac:dyDescent="0.15">
      <c r="A47" s="65">
        <v>9</v>
      </c>
      <c r="B47" s="75" t="s">
        <v>40</v>
      </c>
      <c r="C47" s="56">
        <v>45729</v>
      </c>
      <c r="D47" s="90">
        <v>7.77</v>
      </c>
      <c r="G47" s="52"/>
    </row>
    <row r="48" spans="1:11" ht="14" x14ac:dyDescent="0.15">
      <c r="A48" s="65">
        <v>9</v>
      </c>
      <c r="B48" s="75" t="s">
        <v>40</v>
      </c>
      <c r="C48" s="56">
        <v>45740</v>
      </c>
      <c r="D48" s="90">
        <v>21.92</v>
      </c>
      <c r="G48" s="52"/>
    </row>
    <row r="49" spans="1:11" ht="14" x14ac:dyDescent="0.15">
      <c r="A49" s="65">
        <v>9</v>
      </c>
      <c r="B49" s="82" t="s">
        <v>40</v>
      </c>
      <c r="C49" s="56">
        <v>45740</v>
      </c>
      <c r="D49" s="90">
        <v>13.48</v>
      </c>
    </row>
    <row r="50" spans="1:11" ht="14" x14ac:dyDescent="0.15">
      <c r="A50" s="65">
        <v>9</v>
      </c>
      <c r="B50" s="82" t="s">
        <v>40</v>
      </c>
      <c r="C50" s="56">
        <v>45740</v>
      </c>
      <c r="D50" s="90">
        <v>56.31</v>
      </c>
    </row>
    <row r="51" spans="1:11" ht="14" x14ac:dyDescent="0.15">
      <c r="A51" s="65">
        <v>9</v>
      </c>
      <c r="B51" s="82" t="s">
        <v>40</v>
      </c>
      <c r="C51" s="56">
        <v>45740</v>
      </c>
      <c r="D51" s="90">
        <v>43.71</v>
      </c>
    </row>
    <row r="52" spans="1:11" x14ac:dyDescent="0.15">
      <c r="A52" s="62"/>
      <c r="B52" s="63"/>
      <c r="C52" s="51"/>
      <c r="D52" s="91"/>
      <c r="F52" s="48"/>
      <c r="G52" s="48"/>
      <c r="H52" s="48"/>
      <c r="I52" s="91"/>
      <c r="J52" s="48"/>
      <c r="K52" s="48"/>
    </row>
    <row r="53" spans="1:11" ht="28" x14ac:dyDescent="0.15">
      <c r="A53" s="65">
        <v>10</v>
      </c>
      <c r="B53" s="64" t="s">
        <v>44</v>
      </c>
      <c r="C53" s="56">
        <v>45722</v>
      </c>
      <c r="D53" s="90">
        <v>7.82</v>
      </c>
      <c r="F53" s="65">
        <v>10</v>
      </c>
      <c r="G53" s="52" t="s">
        <v>44</v>
      </c>
      <c r="H53">
        <f>COUNT(D53:D58)</f>
        <v>6</v>
      </c>
      <c r="I53" s="95">
        <f>AVERAGE(D53:D58)</f>
        <v>78.551666666666662</v>
      </c>
      <c r="J53" s="49">
        <f>MIN(D53:D58)</f>
        <v>7.82</v>
      </c>
      <c r="K53" s="49">
        <f>MAX(D53:D58)</f>
        <v>332</v>
      </c>
    </row>
    <row r="54" spans="1:11" ht="28" x14ac:dyDescent="0.15">
      <c r="A54" s="65">
        <v>10</v>
      </c>
      <c r="B54" s="64" t="s">
        <v>44</v>
      </c>
      <c r="C54" s="56">
        <v>45722</v>
      </c>
      <c r="D54" s="90">
        <v>21.59</v>
      </c>
    </row>
    <row r="55" spans="1:11" ht="28" x14ac:dyDescent="0.15">
      <c r="A55" s="65">
        <v>10</v>
      </c>
      <c r="B55" s="64" t="s">
        <v>44</v>
      </c>
      <c r="C55" s="56">
        <v>45722</v>
      </c>
      <c r="D55" s="90">
        <v>20.100000000000001</v>
      </c>
      <c r="E55" s="48"/>
    </row>
    <row r="56" spans="1:11" ht="28" x14ac:dyDescent="0.15">
      <c r="A56" s="65">
        <v>10</v>
      </c>
      <c r="B56" s="64" t="s">
        <v>44</v>
      </c>
      <c r="C56" s="56">
        <v>45740</v>
      </c>
      <c r="D56" s="90">
        <v>31.53</v>
      </c>
      <c r="E56" s="48"/>
    </row>
    <row r="57" spans="1:11" ht="28" x14ac:dyDescent="0.15">
      <c r="A57" s="65">
        <v>10</v>
      </c>
      <c r="B57" s="64" t="s">
        <v>44</v>
      </c>
      <c r="C57" s="56">
        <v>45740</v>
      </c>
      <c r="D57" s="90">
        <v>332</v>
      </c>
      <c r="E57" s="48"/>
    </row>
    <row r="58" spans="1:11" ht="28" x14ac:dyDescent="0.15">
      <c r="A58" s="65">
        <v>10</v>
      </c>
      <c r="B58" s="64" t="s">
        <v>44</v>
      </c>
      <c r="C58" s="56">
        <v>45740</v>
      </c>
      <c r="D58" s="90">
        <v>58.27</v>
      </c>
      <c r="E58" s="48"/>
    </row>
    <row r="59" spans="1:11" x14ac:dyDescent="0.15">
      <c r="A59" s="62"/>
      <c r="B59" s="63"/>
      <c r="C59" s="51"/>
      <c r="D59" s="91"/>
      <c r="E59" s="48"/>
      <c r="F59" s="51"/>
      <c r="G59" s="51"/>
      <c r="H59" s="51"/>
      <c r="I59" s="91"/>
      <c r="J59" s="51"/>
      <c r="K59" s="51"/>
    </row>
    <row r="60" spans="1:11" ht="28" x14ac:dyDescent="0.15">
      <c r="A60" s="65">
        <v>11</v>
      </c>
      <c r="B60" s="75" t="s">
        <v>49</v>
      </c>
      <c r="C60" s="56">
        <v>45722</v>
      </c>
      <c r="D60" s="93">
        <v>31.87</v>
      </c>
      <c r="E60" s="48"/>
      <c r="F60" s="79">
        <v>11</v>
      </c>
      <c r="G60" s="55" t="s">
        <v>49</v>
      </c>
      <c r="H60" s="61">
        <f>COUNT(D60:D72)</f>
        <v>13</v>
      </c>
      <c r="I60" s="93">
        <f>AVERAGE(D60:D72)</f>
        <v>147.94923076923075</v>
      </c>
      <c r="J60" s="54">
        <f>MIN(D60:D72)</f>
        <v>17.09</v>
      </c>
      <c r="K60" s="54">
        <f>MAX(D60:D72)</f>
        <v>348</v>
      </c>
    </row>
    <row r="61" spans="1:11" ht="28" x14ac:dyDescent="0.15">
      <c r="A61" s="65">
        <v>11</v>
      </c>
      <c r="B61" s="75" t="s">
        <v>49</v>
      </c>
      <c r="C61" s="56">
        <v>45722</v>
      </c>
      <c r="D61" s="93">
        <v>203</v>
      </c>
      <c r="E61" s="48"/>
      <c r="F61" s="61"/>
      <c r="G61" s="61"/>
      <c r="H61" s="61"/>
      <c r="I61" s="93"/>
      <c r="J61" s="61"/>
      <c r="K61" s="61"/>
    </row>
    <row r="62" spans="1:11" ht="28" x14ac:dyDescent="0.15">
      <c r="A62" s="65">
        <v>11</v>
      </c>
      <c r="B62" s="75" t="s">
        <v>49</v>
      </c>
      <c r="C62" s="56">
        <v>45722</v>
      </c>
      <c r="D62" s="93">
        <v>180</v>
      </c>
      <c r="E62" s="48"/>
      <c r="F62" s="61"/>
      <c r="G62" s="61"/>
      <c r="H62" s="61"/>
      <c r="I62" s="93"/>
      <c r="J62" s="61"/>
      <c r="K62" s="61"/>
    </row>
    <row r="63" spans="1:11" ht="28" x14ac:dyDescent="0.15">
      <c r="A63" s="65">
        <v>11</v>
      </c>
      <c r="B63" s="75" t="s">
        <v>49</v>
      </c>
      <c r="C63" s="56">
        <v>45722</v>
      </c>
      <c r="D63" s="93">
        <v>166</v>
      </c>
      <c r="E63" s="48"/>
      <c r="F63" s="61"/>
      <c r="G63" s="61"/>
      <c r="H63" s="61"/>
      <c r="I63" s="93"/>
      <c r="J63" s="61"/>
      <c r="K63" s="61"/>
    </row>
    <row r="64" spans="1:11" ht="28" x14ac:dyDescent="0.15">
      <c r="A64" s="65">
        <v>11</v>
      </c>
      <c r="B64" s="75" t="s">
        <v>49</v>
      </c>
      <c r="C64" s="56">
        <v>45722</v>
      </c>
      <c r="D64" s="93">
        <v>195</v>
      </c>
      <c r="E64" s="48"/>
      <c r="F64" s="61"/>
      <c r="G64" s="61"/>
      <c r="H64" s="61"/>
      <c r="I64" s="93"/>
      <c r="J64" s="61"/>
      <c r="K64" s="61"/>
    </row>
    <row r="65" spans="1:19" ht="28" x14ac:dyDescent="0.15">
      <c r="A65" s="65">
        <v>11</v>
      </c>
      <c r="B65" s="75" t="s">
        <v>49</v>
      </c>
      <c r="C65" s="56">
        <v>45722</v>
      </c>
      <c r="D65" s="93">
        <v>130</v>
      </c>
      <c r="E65" s="48"/>
      <c r="F65" s="61"/>
      <c r="G65" s="61"/>
      <c r="H65" s="61"/>
      <c r="I65" s="93"/>
      <c r="J65" s="61"/>
      <c r="K65" s="61"/>
    </row>
    <row r="66" spans="1:19" ht="28" x14ac:dyDescent="0.15">
      <c r="A66" s="65">
        <v>11</v>
      </c>
      <c r="B66" s="75" t="s">
        <v>49</v>
      </c>
      <c r="C66" s="56">
        <v>45729</v>
      </c>
      <c r="D66" s="93">
        <v>341</v>
      </c>
      <c r="E66" s="48"/>
      <c r="F66" s="61"/>
      <c r="G66" s="61"/>
      <c r="H66" s="61"/>
      <c r="I66" s="93"/>
      <c r="J66" s="61"/>
      <c r="K66" s="61"/>
    </row>
    <row r="67" spans="1:19" ht="28" x14ac:dyDescent="0.15">
      <c r="A67" s="65">
        <v>11</v>
      </c>
      <c r="B67" s="75" t="s">
        <v>49</v>
      </c>
      <c r="C67" s="56">
        <v>45729</v>
      </c>
      <c r="D67" s="93">
        <v>348</v>
      </c>
      <c r="G67" s="55"/>
    </row>
    <row r="68" spans="1:19" ht="28" x14ac:dyDescent="0.15">
      <c r="A68" s="65">
        <v>11</v>
      </c>
      <c r="B68" s="75" t="s">
        <v>49</v>
      </c>
      <c r="C68" s="56">
        <v>45740</v>
      </c>
      <c r="D68" s="90">
        <v>56.8</v>
      </c>
      <c r="G68" s="55"/>
    </row>
    <row r="69" spans="1:19" ht="28" x14ac:dyDescent="0.15">
      <c r="A69" s="65">
        <v>11</v>
      </c>
      <c r="B69" s="75" t="s">
        <v>49</v>
      </c>
      <c r="C69" s="56">
        <v>45740</v>
      </c>
      <c r="D69" s="90">
        <v>17.82</v>
      </c>
      <c r="G69" s="55"/>
    </row>
    <row r="70" spans="1:19" ht="28" x14ac:dyDescent="0.15">
      <c r="A70" s="65">
        <v>11</v>
      </c>
      <c r="B70" s="75" t="s">
        <v>49</v>
      </c>
      <c r="C70" s="56">
        <v>45740</v>
      </c>
      <c r="D70" s="90">
        <v>17.09</v>
      </c>
    </row>
    <row r="71" spans="1:19" ht="28" x14ac:dyDescent="0.15">
      <c r="A71" s="65">
        <v>11</v>
      </c>
      <c r="B71" s="75" t="s">
        <v>49</v>
      </c>
      <c r="C71" s="56">
        <v>45740</v>
      </c>
      <c r="D71" s="90">
        <v>182</v>
      </c>
    </row>
    <row r="72" spans="1:19" ht="28" x14ac:dyDescent="0.15">
      <c r="A72" s="65">
        <v>11</v>
      </c>
      <c r="B72" s="75" t="s">
        <v>49</v>
      </c>
      <c r="C72" s="56">
        <v>45740</v>
      </c>
      <c r="D72" s="90">
        <v>54.76</v>
      </c>
    </row>
    <row r="73" spans="1:19" x14ac:dyDescent="0.15">
      <c r="A73" s="62"/>
      <c r="B73" s="63"/>
      <c r="C73" s="51"/>
      <c r="D73" s="91"/>
      <c r="E73" s="48"/>
      <c r="F73" s="51"/>
      <c r="G73" s="51"/>
      <c r="H73" s="51"/>
      <c r="I73" s="91"/>
      <c r="J73" s="51"/>
      <c r="K73" s="51"/>
    </row>
    <row r="74" spans="1:19" ht="14" x14ac:dyDescent="0.15">
      <c r="A74" s="53">
        <v>12</v>
      </c>
      <c r="B74" s="82" t="s">
        <v>56</v>
      </c>
      <c r="C74" s="56">
        <v>45722</v>
      </c>
      <c r="D74" s="90">
        <v>143</v>
      </c>
      <c r="E74" s="48"/>
      <c r="F74" s="53">
        <v>12</v>
      </c>
      <c r="G74" s="55" t="s">
        <v>56</v>
      </c>
      <c r="H74" s="61">
        <f>COUNT(D74:D81)</f>
        <v>8</v>
      </c>
      <c r="I74" s="93">
        <f>AVERAGE(D74:D81)</f>
        <v>153.5</v>
      </c>
      <c r="J74" s="54">
        <f>MIN(D74:D81)</f>
        <v>92</v>
      </c>
      <c r="K74" s="54">
        <f>MAX(D74:D81)</f>
        <v>245</v>
      </c>
    </row>
    <row r="75" spans="1:19" ht="14" x14ac:dyDescent="0.15">
      <c r="A75" s="53">
        <v>12</v>
      </c>
      <c r="B75" s="82" t="s">
        <v>56</v>
      </c>
      <c r="C75" s="56">
        <v>45722</v>
      </c>
      <c r="D75" s="90">
        <v>168</v>
      </c>
      <c r="E75" s="48"/>
      <c r="F75" s="61"/>
      <c r="G75" s="61"/>
      <c r="H75" s="61"/>
      <c r="I75" s="93"/>
      <c r="J75" s="61"/>
      <c r="K75" s="61"/>
    </row>
    <row r="76" spans="1:19" ht="14" x14ac:dyDescent="0.15">
      <c r="A76" s="53">
        <v>12</v>
      </c>
      <c r="B76" s="82" t="s">
        <v>56</v>
      </c>
      <c r="C76" s="56">
        <v>45722</v>
      </c>
      <c r="D76" s="90">
        <v>129</v>
      </c>
      <c r="E76" s="48"/>
      <c r="F76" s="61"/>
      <c r="G76" s="61"/>
      <c r="H76" s="61"/>
      <c r="I76" s="93"/>
      <c r="J76" s="61"/>
      <c r="K76" s="61"/>
    </row>
    <row r="77" spans="1:19" ht="14" x14ac:dyDescent="0.15">
      <c r="A77" s="53">
        <v>12</v>
      </c>
      <c r="B77" s="82" t="s">
        <v>56</v>
      </c>
      <c r="C77" s="56">
        <v>45722</v>
      </c>
      <c r="D77" s="90">
        <v>168</v>
      </c>
      <c r="E77" s="48"/>
      <c r="F77" s="61"/>
      <c r="G77" s="61"/>
      <c r="H77" s="61"/>
      <c r="I77" s="93"/>
      <c r="J77" s="61"/>
      <c r="K77" s="61"/>
    </row>
    <row r="78" spans="1:19" ht="14" x14ac:dyDescent="0.15">
      <c r="A78" s="53">
        <v>12</v>
      </c>
      <c r="B78" s="82" t="s">
        <v>56</v>
      </c>
      <c r="C78" s="56">
        <v>45729</v>
      </c>
      <c r="D78" s="89">
        <v>92</v>
      </c>
      <c r="I78" s="93"/>
      <c r="J78" s="61"/>
      <c r="K78" s="61"/>
      <c r="L78" s="54"/>
      <c r="M78" s="54"/>
      <c r="N78" s="61"/>
      <c r="O78" s="61"/>
      <c r="P78" s="61"/>
      <c r="Q78" s="61"/>
      <c r="R78" s="61"/>
      <c r="S78" s="61"/>
    </row>
    <row r="79" spans="1:19" ht="14" x14ac:dyDescent="0.15">
      <c r="A79" s="53">
        <v>12</v>
      </c>
      <c r="B79" s="82" t="s">
        <v>56</v>
      </c>
      <c r="C79" s="56">
        <v>45740</v>
      </c>
      <c r="D79" s="90">
        <v>245</v>
      </c>
    </row>
    <row r="80" spans="1:19" ht="14" x14ac:dyDescent="0.15">
      <c r="A80" s="53">
        <v>12</v>
      </c>
      <c r="B80" s="82" t="s">
        <v>56</v>
      </c>
      <c r="C80" s="56">
        <v>45740</v>
      </c>
      <c r="D80" s="90">
        <v>161</v>
      </c>
    </row>
    <row r="81" spans="1:11" ht="14" x14ac:dyDescent="0.15">
      <c r="A81" s="53">
        <v>12</v>
      </c>
      <c r="B81" s="82" t="s">
        <v>56</v>
      </c>
      <c r="C81" s="56">
        <v>45740</v>
      </c>
      <c r="D81" s="90">
        <v>122</v>
      </c>
    </row>
    <row r="82" spans="1:11" x14ac:dyDescent="0.15">
      <c r="A82" s="62"/>
      <c r="B82" s="63"/>
      <c r="C82" s="51"/>
      <c r="D82" s="91"/>
      <c r="E82" s="48"/>
      <c r="F82" s="51"/>
      <c r="G82" s="51"/>
      <c r="H82" s="51"/>
      <c r="I82" s="91"/>
      <c r="J82" s="51"/>
      <c r="K82" s="51"/>
    </row>
    <row r="83" spans="1:11" ht="14" x14ac:dyDescent="0.15">
      <c r="A83" s="53" t="s">
        <v>187</v>
      </c>
      <c r="B83" s="64" t="s">
        <v>58</v>
      </c>
      <c r="C83" s="56">
        <v>45740</v>
      </c>
      <c r="D83" s="89">
        <v>99</v>
      </c>
      <c r="F83" s="53" t="s">
        <v>187</v>
      </c>
      <c r="G83" s="83" t="s">
        <v>58</v>
      </c>
      <c r="H83">
        <f>COUNT(Table15[[#This Row],[Duration (sec)]])</f>
        <v>1</v>
      </c>
      <c r="I83" s="95">
        <f>AVERAGE(Table15[[#This Row],[Duration (sec)]])</f>
        <v>99</v>
      </c>
      <c r="J83">
        <f>MIN(Table15[[#This Row],[Duration (sec)]])</f>
        <v>99</v>
      </c>
      <c r="K83">
        <f>MAX(Table15[[#This Row],[Duration (sec)]])</f>
        <v>99</v>
      </c>
    </row>
    <row r="84" spans="1:11" x14ac:dyDescent="0.15">
      <c r="A84" s="62"/>
      <c r="B84" s="63"/>
      <c r="C84" s="51"/>
      <c r="D84" s="91"/>
      <c r="E84" s="48"/>
      <c r="F84" s="62"/>
      <c r="G84" s="51"/>
      <c r="H84" s="51"/>
      <c r="I84" s="91"/>
      <c r="J84" s="51"/>
      <c r="K84" s="51"/>
    </row>
    <row r="85" spans="1:11" ht="14" x14ac:dyDescent="0.15">
      <c r="A85" s="53" t="s">
        <v>188</v>
      </c>
      <c r="B85" s="82" t="s">
        <v>60</v>
      </c>
      <c r="C85" s="56">
        <v>45729</v>
      </c>
      <c r="D85" s="90">
        <v>468</v>
      </c>
      <c r="F85" s="53" t="s">
        <v>188</v>
      </c>
      <c r="G85" s="84" t="s">
        <v>60</v>
      </c>
      <c r="H85">
        <f>COUNT(Table15[[#This Row],[Duration (sec)]])</f>
        <v>1</v>
      </c>
      <c r="I85" s="95">
        <f>AVERAGE(Table15[[#This Row],[Duration (sec)]])</f>
        <v>468</v>
      </c>
      <c r="J85">
        <f>MIN(Table15[[#This Row],[Duration (sec)]])</f>
        <v>468</v>
      </c>
      <c r="K85">
        <f>MAX(Table15[[#This Row],[Duration (sec)]])</f>
        <v>468</v>
      </c>
    </row>
    <row r="86" spans="1:11" x14ac:dyDescent="0.15">
      <c r="A86" s="62"/>
      <c r="B86" s="63"/>
      <c r="C86" s="51"/>
      <c r="D86" s="91"/>
      <c r="E86" s="48"/>
      <c r="F86" s="51"/>
      <c r="G86" s="51"/>
      <c r="H86" s="51"/>
      <c r="I86" s="91"/>
      <c r="J86" s="51"/>
      <c r="K86" s="51"/>
    </row>
    <row r="87" spans="1:11" ht="28" x14ac:dyDescent="0.15">
      <c r="A87" s="65">
        <v>13</v>
      </c>
      <c r="B87" s="67" t="s">
        <v>189</v>
      </c>
      <c r="C87" s="56">
        <v>45722</v>
      </c>
      <c r="D87" s="90">
        <v>176</v>
      </c>
      <c r="E87" s="48"/>
      <c r="F87" s="65">
        <v>13</v>
      </c>
      <c r="G87" s="85" t="s">
        <v>189</v>
      </c>
      <c r="H87" s="61">
        <f>COUNT(D87:D98)</f>
        <v>12</v>
      </c>
      <c r="I87" s="93">
        <f>AVERAGE(D87:D98)</f>
        <v>237.75</v>
      </c>
      <c r="J87" s="54">
        <f>MIN(D87:D98)</f>
        <v>91</v>
      </c>
      <c r="K87" s="54">
        <f>MAX(D87:D98)</f>
        <v>449</v>
      </c>
    </row>
    <row r="88" spans="1:11" ht="14" x14ac:dyDescent="0.15">
      <c r="A88" s="65">
        <v>13</v>
      </c>
      <c r="B88" s="67" t="s">
        <v>189</v>
      </c>
      <c r="C88" s="56">
        <v>45722</v>
      </c>
      <c r="D88" s="90">
        <v>288</v>
      </c>
      <c r="E88" s="48"/>
      <c r="F88" s="61"/>
      <c r="G88" s="61"/>
      <c r="H88" s="61"/>
      <c r="I88" s="93"/>
      <c r="J88" s="61"/>
      <c r="K88" s="61"/>
    </row>
    <row r="89" spans="1:11" ht="14" x14ac:dyDescent="0.15">
      <c r="A89" s="65">
        <v>13</v>
      </c>
      <c r="B89" s="67" t="s">
        <v>189</v>
      </c>
      <c r="C89" s="56">
        <v>45722</v>
      </c>
      <c r="D89" s="90">
        <v>249</v>
      </c>
      <c r="E89" s="48"/>
      <c r="F89" s="61"/>
      <c r="G89" s="61"/>
      <c r="H89" s="61"/>
      <c r="I89" s="93"/>
      <c r="J89" s="61"/>
      <c r="K89" s="61"/>
    </row>
    <row r="90" spans="1:11" ht="14" x14ac:dyDescent="0.15">
      <c r="A90" s="65">
        <v>13</v>
      </c>
      <c r="B90" s="67" t="s">
        <v>189</v>
      </c>
      <c r="C90" s="56">
        <v>45722</v>
      </c>
      <c r="D90" s="90">
        <v>216</v>
      </c>
      <c r="E90" s="48"/>
      <c r="F90" s="61"/>
      <c r="G90" s="61"/>
      <c r="H90" s="61"/>
      <c r="I90" s="93"/>
      <c r="J90" s="61"/>
      <c r="K90" s="61"/>
    </row>
    <row r="91" spans="1:11" ht="14" x14ac:dyDescent="0.15">
      <c r="A91" s="65">
        <v>13</v>
      </c>
      <c r="B91" s="67" t="s">
        <v>189</v>
      </c>
      <c r="C91" s="56">
        <v>45722</v>
      </c>
      <c r="D91" s="89">
        <v>379</v>
      </c>
    </row>
    <row r="92" spans="1:11" ht="14" x14ac:dyDescent="0.15">
      <c r="A92" s="65">
        <v>13</v>
      </c>
      <c r="B92" s="67" t="s">
        <v>189</v>
      </c>
      <c r="C92" s="56">
        <v>45729</v>
      </c>
      <c r="D92" s="90">
        <v>449</v>
      </c>
    </row>
    <row r="93" spans="1:11" ht="14" x14ac:dyDescent="0.15">
      <c r="A93" s="65">
        <v>13</v>
      </c>
      <c r="B93" s="67" t="s">
        <v>189</v>
      </c>
      <c r="C93" s="56">
        <v>45729</v>
      </c>
      <c r="D93" s="90">
        <v>315</v>
      </c>
    </row>
    <row r="94" spans="1:11" ht="14" x14ac:dyDescent="0.15">
      <c r="A94" s="65">
        <v>13</v>
      </c>
      <c r="B94" s="67" t="s">
        <v>189</v>
      </c>
      <c r="C94" s="56">
        <v>45740</v>
      </c>
      <c r="D94" s="90">
        <v>147</v>
      </c>
    </row>
    <row r="95" spans="1:11" ht="14" x14ac:dyDescent="0.15">
      <c r="A95" s="65">
        <v>13</v>
      </c>
      <c r="B95" s="67" t="s">
        <v>189</v>
      </c>
      <c r="C95" s="56">
        <v>45740</v>
      </c>
      <c r="D95" s="90">
        <v>208</v>
      </c>
    </row>
    <row r="96" spans="1:11" ht="14" x14ac:dyDescent="0.15">
      <c r="A96" s="65">
        <v>13</v>
      </c>
      <c r="B96" s="67" t="s">
        <v>189</v>
      </c>
      <c r="C96" s="56">
        <v>45740</v>
      </c>
      <c r="D96" s="90">
        <v>121</v>
      </c>
    </row>
    <row r="97" spans="1:11" ht="14" x14ac:dyDescent="0.15">
      <c r="A97" s="65">
        <v>13</v>
      </c>
      <c r="B97" s="67" t="s">
        <v>189</v>
      </c>
      <c r="C97" s="56">
        <v>45740</v>
      </c>
      <c r="D97" s="90">
        <v>91</v>
      </c>
    </row>
    <row r="98" spans="1:11" ht="14" x14ac:dyDescent="0.15">
      <c r="A98" s="65">
        <v>13</v>
      </c>
      <c r="B98" s="67" t="s">
        <v>189</v>
      </c>
      <c r="C98" s="56">
        <v>45740</v>
      </c>
      <c r="D98" s="90">
        <v>214</v>
      </c>
    </row>
    <row r="99" spans="1:11" x14ac:dyDescent="0.15">
      <c r="A99" s="62"/>
      <c r="B99" s="63"/>
      <c r="C99" s="51"/>
      <c r="D99" s="91"/>
      <c r="E99" s="48"/>
      <c r="F99" s="51"/>
      <c r="G99" s="51"/>
      <c r="H99" s="51"/>
      <c r="I99" s="91"/>
      <c r="J99" s="51"/>
      <c r="K99" s="51"/>
    </row>
    <row r="100" spans="1:11" ht="14" x14ac:dyDescent="0.15">
      <c r="B100" s="86" t="s">
        <v>190</v>
      </c>
      <c r="C100" s="56">
        <v>45722</v>
      </c>
      <c r="D100" s="90">
        <v>721</v>
      </c>
      <c r="E100" s="48"/>
      <c r="F100" s="65"/>
      <c r="G100" s="86" t="s">
        <v>190</v>
      </c>
      <c r="H100">
        <f>COUNT(D100:D106)</f>
        <v>7</v>
      </c>
      <c r="I100" s="95">
        <f>AVERAGE(D100:D106)</f>
        <v>1008.1428571428571</v>
      </c>
      <c r="J100" s="49">
        <f>MIN(D100:D106)</f>
        <v>484</v>
      </c>
      <c r="K100" s="49">
        <f>MAX(D100:D106)</f>
        <v>1797</v>
      </c>
    </row>
    <row r="101" spans="1:11" ht="14" x14ac:dyDescent="0.15">
      <c r="B101" s="86" t="s">
        <v>190</v>
      </c>
      <c r="C101" s="56">
        <v>45722</v>
      </c>
      <c r="D101" s="90">
        <v>484</v>
      </c>
      <c r="E101" s="48"/>
    </row>
    <row r="102" spans="1:11" ht="14" x14ac:dyDescent="0.15">
      <c r="B102" s="86" t="s">
        <v>190</v>
      </c>
      <c r="C102" s="56">
        <v>45729</v>
      </c>
      <c r="D102" s="90">
        <v>1512</v>
      </c>
      <c r="E102" s="48"/>
    </row>
    <row r="103" spans="1:11" ht="14" x14ac:dyDescent="0.15">
      <c r="B103" s="86" t="s">
        <v>190</v>
      </c>
      <c r="C103" s="56">
        <v>45729</v>
      </c>
      <c r="D103" s="92">
        <v>1797</v>
      </c>
    </row>
    <row r="104" spans="1:11" ht="14" x14ac:dyDescent="0.15">
      <c r="B104" s="86" t="s">
        <v>190</v>
      </c>
      <c r="C104" s="56">
        <v>45740</v>
      </c>
      <c r="D104" s="90">
        <v>643</v>
      </c>
    </row>
    <row r="105" spans="1:11" ht="14" x14ac:dyDescent="0.15">
      <c r="B105" s="86" t="s">
        <v>190</v>
      </c>
      <c r="C105" s="56">
        <v>45740</v>
      </c>
      <c r="D105" s="90">
        <v>692</v>
      </c>
    </row>
    <row r="106" spans="1:11" ht="14" x14ac:dyDescent="0.15">
      <c r="B106" s="86" t="s">
        <v>190</v>
      </c>
      <c r="C106" s="56">
        <v>45740</v>
      </c>
      <c r="D106" s="90">
        <v>1208</v>
      </c>
    </row>
    <row r="107" spans="1:11" x14ac:dyDescent="0.15">
      <c r="A107" s="62"/>
      <c r="B107" s="63"/>
      <c r="C107" s="51"/>
      <c r="D107" s="91"/>
      <c r="E107" s="48"/>
      <c r="F107" s="51"/>
      <c r="G107" s="51"/>
      <c r="H107" s="51"/>
      <c r="I107" s="91"/>
      <c r="J107" s="51"/>
      <c r="K107" s="51"/>
    </row>
    <row r="108" spans="1:11" ht="14" x14ac:dyDescent="0.15">
      <c r="A108" s="53" t="s">
        <v>191</v>
      </c>
      <c r="B108" s="64" t="s">
        <v>68</v>
      </c>
      <c r="C108" s="56">
        <v>45722</v>
      </c>
      <c r="D108" s="89">
        <v>522</v>
      </c>
      <c r="F108" s="53" t="s">
        <v>191</v>
      </c>
      <c r="G108" s="64" t="s">
        <v>68</v>
      </c>
      <c r="H108">
        <f>COUNT(Table15[[#This Row],[Duration (sec)]])</f>
        <v>1</v>
      </c>
      <c r="I108" s="95">
        <f>AVERAGE(Table15[[#This Row],[Duration (sec)]])</f>
        <v>522</v>
      </c>
      <c r="J108">
        <f>MIN(Table15[[#This Row],[Duration (sec)]])</f>
        <v>522</v>
      </c>
      <c r="K108">
        <f>MAX(Table15[[#This Row],[Duration (sec)]])</f>
        <v>522</v>
      </c>
    </row>
    <row r="109" spans="1:11" x14ac:dyDescent="0.15">
      <c r="A109" s="62"/>
      <c r="B109" s="63"/>
      <c r="C109" s="51"/>
      <c r="D109" s="91"/>
      <c r="E109" s="48"/>
      <c r="F109" s="51"/>
      <c r="G109" s="51"/>
      <c r="H109" s="51"/>
      <c r="I109" s="91"/>
      <c r="J109" s="51"/>
      <c r="K109" s="51"/>
    </row>
    <row r="110" spans="1:11" ht="14" x14ac:dyDescent="0.15">
      <c r="A110" s="65">
        <v>15</v>
      </c>
      <c r="B110" s="64" t="s">
        <v>82</v>
      </c>
      <c r="C110" s="56">
        <v>45722</v>
      </c>
      <c r="D110" s="93">
        <v>112</v>
      </c>
      <c r="E110" s="48"/>
      <c r="F110" s="65">
        <v>15</v>
      </c>
      <c r="G110" s="64" t="s">
        <v>82</v>
      </c>
      <c r="H110" s="61">
        <f>COUNT(D110:D119)</f>
        <v>10</v>
      </c>
      <c r="I110" s="93">
        <f>AVERAGE(D110:D119)</f>
        <v>153.79000000000002</v>
      </c>
      <c r="J110" s="93">
        <f>MIN(D110:D119)</f>
        <v>20.9</v>
      </c>
      <c r="K110" s="93">
        <f>MAX(D110:D119)</f>
        <v>271</v>
      </c>
    </row>
    <row r="111" spans="1:11" ht="14" x14ac:dyDescent="0.15">
      <c r="A111" s="65">
        <v>15</v>
      </c>
      <c r="B111" s="64" t="s">
        <v>82</v>
      </c>
      <c r="C111" s="56">
        <v>45722</v>
      </c>
      <c r="D111" s="90">
        <v>256</v>
      </c>
      <c r="E111" s="48"/>
      <c r="F111" s="61"/>
      <c r="G111" s="61"/>
      <c r="H111" s="61"/>
      <c r="I111" s="93"/>
      <c r="J111" s="61"/>
      <c r="K111" s="61"/>
    </row>
    <row r="112" spans="1:11" ht="14" x14ac:dyDescent="0.15">
      <c r="A112" s="65">
        <v>15</v>
      </c>
      <c r="B112" s="64" t="s">
        <v>82</v>
      </c>
      <c r="C112" s="56">
        <v>45722</v>
      </c>
      <c r="D112" s="90">
        <v>146</v>
      </c>
      <c r="E112" s="48"/>
      <c r="F112" s="61"/>
      <c r="G112" s="61"/>
      <c r="H112" s="61"/>
      <c r="I112" s="93"/>
      <c r="J112" s="61"/>
      <c r="K112" s="61"/>
    </row>
    <row r="113" spans="1:11" ht="14" x14ac:dyDescent="0.15">
      <c r="A113" s="65">
        <v>15</v>
      </c>
      <c r="B113" s="64" t="s">
        <v>82</v>
      </c>
      <c r="C113" s="56">
        <v>45722</v>
      </c>
      <c r="D113" s="90">
        <v>191</v>
      </c>
      <c r="E113" s="48"/>
      <c r="F113" s="61"/>
      <c r="G113" s="61"/>
      <c r="H113" s="61"/>
      <c r="I113" s="93"/>
      <c r="J113" s="61"/>
      <c r="K113" s="61"/>
    </row>
    <row r="114" spans="1:11" ht="14" x14ac:dyDescent="0.15">
      <c r="A114" s="65">
        <v>15</v>
      </c>
      <c r="B114" s="64" t="s">
        <v>82</v>
      </c>
      <c r="C114" s="56">
        <v>45729</v>
      </c>
      <c r="D114" s="93">
        <v>145</v>
      </c>
      <c r="E114" s="48"/>
      <c r="F114" s="61"/>
      <c r="G114" s="61"/>
      <c r="H114" s="61"/>
      <c r="I114" s="93"/>
      <c r="J114" s="61"/>
      <c r="K114" s="61"/>
    </row>
    <row r="115" spans="1:11" ht="14" x14ac:dyDescent="0.15">
      <c r="A115" s="65">
        <v>15</v>
      </c>
      <c r="B115" s="64" t="s">
        <v>82</v>
      </c>
      <c r="C115" s="56">
        <v>45740</v>
      </c>
      <c r="D115" s="90">
        <v>246</v>
      </c>
      <c r="E115" s="48"/>
      <c r="F115" s="61"/>
      <c r="G115" s="61"/>
      <c r="H115" s="61"/>
      <c r="I115" s="93"/>
      <c r="J115" s="61"/>
      <c r="K115" s="61"/>
    </row>
    <row r="116" spans="1:11" ht="14" x14ac:dyDescent="0.15">
      <c r="A116" s="65">
        <v>15</v>
      </c>
      <c r="B116" s="64" t="s">
        <v>82</v>
      </c>
      <c r="C116" s="56">
        <v>45740</v>
      </c>
      <c r="D116" s="90">
        <v>271</v>
      </c>
      <c r="E116" s="48"/>
      <c r="F116" s="61"/>
      <c r="G116" s="61"/>
      <c r="H116" s="61"/>
      <c r="I116" s="93"/>
      <c r="J116" s="61"/>
      <c r="K116" s="61"/>
    </row>
    <row r="117" spans="1:11" ht="14" x14ac:dyDescent="0.15">
      <c r="A117" s="65">
        <v>15</v>
      </c>
      <c r="B117" s="64" t="s">
        <v>82</v>
      </c>
      <c r="C117" s="56">
        <v>45740</v>
      </c>
      <c r="D117" s="90">
        <v>72</v>
      </c>
      <c r="E117" s="48"/>
      <c r="F117" s="61"/>
      <c r="G117" s="61"/>
      <c r="H117" s="61"/>
      <c r="I117" s="93"/>
      <c r="J117" s="61"/>
      <c r="K117" s="61"/>
    </row>
    <row r="118" spans="1:11" ht="14" x14ac:dyDescent="0.15">
      <c r="A118" s="65">
        <v>15</v>
      </c>
      <c r="B118" s="64" t="s">
        <v>82</v>
      </c>
      <c r="C118" s="56">
        <v>45740</v>
      </c>
      <c r="D118" s="89">
        <v>78</v>
      </c>
    </row>
    <row r="119" spans="1:11" ht="14" x14ac:dyDescent="0.15">
      <c r="A119" s="65">
        <v>15</v>
      </c>
      <c r="B119" s="64" t="s">
        <v>82</v>
      </c>
      <c r="C119" s="56">
        <v>45740</v>
      </c>
      <c r="D119" s="90">
        <v>20.9</v>
      </c>
    </row>
    <row r="120" spans="1:11" x14ac:dyDescent="0.15">
      <c r="A120" s="62"/>
      <c r="B120" s="63"/>
      <c r="C120" s="51"/>
      <c r="D120" s="91"/>
      <c r="E120" s="48"/>
      <c r="F120" s="51"/>
      <c r="G120" s="51"/>
      <c r="H120" s="51"/>
      <c r="I120" s="91"/>
      <c r="J120" s="51"/>
      <c r="K120" s="51"/>
    </row>
    <row r="121" spans="1:11" ht="14" x14ac:dyDescent="0.15">
      <c r="A121" s="65">
        <v>17</v>
      </c>
      <c r="B121" s="64" t="s">
        <v>89</v>
      </c>
      <c r="C121" s="56">
        <v>45722</v>
      </c>
      <c r="D121" s="92">
        <v>80</v>
      </c>
      <c r="F121" s="65">
        <v>17</v>
      </c>
      <c r="G121" s="64" t="s">
        <v>89</v>
      </c>
      <c r="H121">
        <f>COUNT(D121:D128)</f>
        <v>8</v>
      </c>
      <c r="I121" s="95">
        <f>AVERAGE(D121:D128)</f>
        <v>71.835000000000008</v>
      </c>
      <c r="J121" s="49">
        <f>MIN(D121:D128)</f>
        <v>32.1</v>
      </c>
      <c r="K121" s="49">
        <f>MAX(D121:D128)</f>
        <v>168</v>
      </c>
    </row>
    <row r="122" spans="1:11" ht="14" x14ac:dyDescent="0.15">
      <c r="A122" s="65">
        <v>17</v>
      </c>
      <c r="B122" s="64" t="s">
        <v>89</v>
      </c>
      <c r="C122" s="56">
        <v>45722</v>
      </c>
      <c r="D122" s="90">
        <v>35</v>
      </c>
    </row>
    <row r="123" spans="1:11" ht="14" x14ac:dyDescent="0.15">
      <c r="A123" s="65">
        <v>17</v>
      </c>
      <c r="B123" s="64" t="s">
        <v>89</v>
      </c>
      <c r="C123" s="56">
        <v>45722</v>
      </c>
      <c r="D123" s="90">
        <v>51.77</v>
      </c>
    </row>
    <row r="124" spans="1:11" ht="14" x14ac:dyDescent="0.15">
      <c r="A124" s="65">
        <v>17</v>
      </c>
      <c r="B124" s="64" t="s">
        <v>89</v>
      </c>
      <c r="C124" s="56">
        <v>45729</v>
      </c>
      <c r="D124" s="90">
        <v>73</v>
      </c>
    </row>
    <row r="125" spans="1:11" ht="14" x14ac:dyDescent="0.15">
      <c r="A125" s="65">
        <v>17</v>
      </c>
      <c r="B125" s="64" t="s">
        <v>89</v>
      </c>
      <c r="C125" s="56">
        <v>45740</v>
      </c>
      <c r="D125" s="90">
        <v>46.81</v>
      </c>
    </row>
    <row r="126" spans="1:11" ht="14" x14ac:dyDescent="0.15">
      <c r="A126" s="65">
        <v>17</v>
      </c>
      <c r="B126" s="64" t="s">
        <v>89</v>
      </c>
      <c r="C126" s="56">
        <v>45740</v>
      </c>
      <c r="D126" s="90">
        <v>168</v>
      </c>
    </row>
    <row r="127" spans="1:11" ht="14" x14ac:dyDescent="0.15">
      <c r="A127" s="65">
        <v>17</v>
      </c>
      <c r="B127" s="64" t="s">
        <v>89</v>
      </c>
      <c r="C127" s="56">
        <v>45740</v>
      </c>
      <c r="D127" s="90">
        <v>32.1</v>
      </c>
    </row>
    <row r="128" spans="1:11" ht="14" x14ac:dyDescent="0.15">
      <c r="A128" s="65">
        <v>17</v>
      </c>
      <c r="B128" s="64" t="s">
        <v>89</v>
      </c>
      <c r="C128" s="56">
        <v>45740</v>
      </c>
      <c r="D128" s="90">
        <v>88</v>
      </c>
    </row>
    <row r="129" spans="1:11" x14ac:dyDescent="0.15">
      <c r="A129" s="62"/>
      <c r="B129" s="63"/>
      <c r="C129" s="51"/>
      <c r="D129" s="91"/>
      <c r="E129" s="48"/>
      <c r="F129" s="51"/>
      <c r="G129" s="51"/>
      <c r="H129" s="51"/>
      <c r="I129" s="91"/>
      <c r="J129" s="51"/>
      <c r="K129" s="51"/>
    </row>
    <row r="130" spans="1:11" ht="28" x14ac:dyDescent="0.15">
      <c r="A130" s="65">
        <v>18</v>
      </c>
      <c r="B130" s="82" t="s">
        <v>92</v>
      </c>
      <c r="C130" s="56">
        <v>45729</v>
      </c>
      <c r="D130" s="89">
        <v>57.36</v>
      </c>
      <c r="F130" s="65">
        <v>18</v>
      </c>
      <c r="G130" s="82" t="s">
        <v>92</v>
      </c>
      <c r="H130">
        <f>COUNT(D130:D133)</f>
        <v>4</v>
      </c>
      <c r="I130" s="95">
        <f>AVERAGE(D130:D133)</f>
        <v>58.365000000000002</v>
      </c>
      <c r="J130" s="49">
        <f>MIN(D130:D133)</f>
        <v>27.1</v>
      </c>
      <c r="K130" s="49">
        <f>MAX(D130:D133)</f>
        <v>80</v>
      </c>
    </row>
    <row r="131" spans="1:11" ht="28" x14ac:dyDescent="0.15">
      <c r="A131" s="65">
        <v>18</v>
      </c>
      <c r="B131" s="75" t="s">
        <v>92</v>
      </c>
      <c r="C131" s="56">
        <v>45729</v>
      </c>
      <c r="D131" s="90">
        <v>80</v>
      </c>
    </row>
    <row r="132" spans="1:11" ht="28" x14ac:dyDescent="0.15">
      <c r="A132" s="65">
        <v>18</v>
      </c>
      <c r="B132" s="82" t="s">
        <v>92</v>
      </c>
      <c r="C132" s="56">
        <v>45740</v>
      </c>
      <c r="D132" s="90">
        <v>27.1</v>
      </c>
    </row>
    <row r="133" spans="1:11" ht="28" x14ac:dyDescent="0.15">
      <c r="A133" s="65">
        <v>18</v>
      </c>
      <c r="B133" s="82" t="s">
        <v>92</v>
      </c>
      <c r="C133" s="56">
        <v>45740</v>
      </c>
      <c r="D133" s="90">
        <v>69</v>
      </c>
    </row>
    <row r="134" spans="1:11" x14ac:dyDescent="0.15">
      <c r="A134" s="62"/>
      <c r="B134" s="63"/>
      <c r="C134" s="51"/>
      <c r="D134" s="91"/>
      <c r="E134" s="48"/>
      <c r="F134" s="51"/>
      <c r="G134" s="51"/>
      <c r="H134" s="51"/>
      <c r="I134" s="91"/>
      <c r="J134" s="51"/>
      <c r="K134" s="51"/>
    </row>
    <row r="135" spans="1:11" ht="14" x14ac:dyDescent="0.15">
      <c r="A135" s="65">
        <v>19</v>
      </c>
      <c r="B135" s="64" t="s">
        <v>95</v>
      </c>
      <c r="C135" s="56">
        <v>45722</v>
      </c>
      <c r="D135" s="90">
        <v>205</v>
      </c>
      <c r="F135" s="65">
        <v>19</v>
      </c>
      <c r="G135" s="64" t="s">
        <v>95</v>
      </c>
      <c r="H135">
        <f>COUNT(D135:D141)</f>
        <v>7</v>
      </c>
      <c r="I135" s="95">
        <f>AVERAGE(D135:D141)</f>
        <v>165</v>
      </c>
      <c r="J135" s="49">
        <f>MIN(D135:D141)</f>
        <v>105</v>
      </c>
      <c r="K135" s="49">
        <f>MAX(D135:D141)</f>
        <v>281</v>
      </c>
    </row>
    <row r="136" spans="1:11" ht="14" x14ac:dyDescent="0.15">
      <c r="A136" s="65">
        <v>19</v>
      </c>
      <c r="B136" s="64" t="s">
        <v>95</v>
      </c>
      <c r="C136" s="56">
        <v>45722</v>
      </c>
      <c r="D136" s="90">
        <v>127</v>
      </c>
    </row>
    <row r="137" spans="1:11" ht="14" x14ac:dyDescent="0.15">
      <c r="A137" s="65">
        <v>19</v>
      </c>
      <c r="B137" s="64" t="s">
        <v>95</v>
      </c>
      <c r="C137" s="56">
        <v>45729</v>
      </c>
      <c r="D137" s="90">
        <v>204</v>
      </c>
    </row>
    <row r="138" spans="1:11" ht="14" x14ac:dyDescent="0.15">
      <c r="A138" s="65">
        <v>19</v>
      </c>
      <c r="B138" s="64" t="s">
        <v>95</v>
      </c>
      <c r="C138" s="56">
        <v>45729</v>
      </c>
      <c r="D138" s="90">
        <v>105</v>
      </c>
    </row>
    <row r="139" spans="1:11" ht="14" x14ac:dyDescent="0.15">
      <c r="A139" s="65">
        <v>19</v>
      </c>
      <c r="B139" s="64" t="s">
        <v>95</v>
      </c>
      <c r="C139" s="56">
        <v>45740</v>
      </c>
      <c r="D139" s="90">
        <v>281</v>
      </c>
    </row>
    <row r="140" spans="1:11" ht="14" x14ac:dyDescent="0.15">
      <c r="A140" s="65">
        <v>19</v>
      </c>
      <c r="B140" s="64" t="s">
        <v>95</v>
      </c>
      <c r="C140" s="56">
        <v>45740</v>
      </c>
      <c r="D140" s="90">
        <v>128</v>
      </c>
    </row>
    <row r="141" spans="1:11" ht="14" x14ac:dyDescent="0.15">
      <c r="A141" s="65">
        <v>19</v>
      </c>
      <c r="B141" s="64" t="s">
        <v>95</v>
      </c>
      <c r="C141" s="56">
        <v>45740</v>
      </c>
      <c r="D141" s="90">
        <v>105</v>
      </c>
    </row>
    <row r="142" spans="1:11" x14ac:dyDescent="0.15">
      <c r="A142" s="62"/>
      <c r="B142" s="63"/>
      <c r="C142" s="51"/>
      <c r="D142" s="91"/>
      <c r="E142" s="48"/>
      <c r="F142" s="51"/>
      <c r="G142" s="51"/>
      <c r="H142" s="51"/>
      <c r="I142" s="91"/>
      <c r="J142" s="51"/>
      <c r="K142" s="51"/>
    </row>
    <row r="143" spans="1:11" ht="14" x14ac:dyDescent="0.15">
      <c r="A143" s="65">
        <v>20</v>
      </c>
      <c r="B143" s="86" t="s">
        <v>98</v>
      </c>
      <c r="C143" s="56">
        <v>45729</v>
      </c>
      <c r="D143" s="90">
        <v>228</v>
      </c>
      <c r="F143" s="65">
        <v>20</v>
      </c>
      <c r="G143" s="86" t="s">
        <v>98</v>
      </c>
      <c r="H143">
        <f>COUNT(D143:D147)</f>
        <v>5</v>
      </c>
      <c r="I143" s="95">
        <f>AVERAGE(D143:D147)</f>
        <v>207.2</v>
      </c>
      <c r="J143" s="49">
        <f>MIN(D143:D147)</f>
        <v>134</v>
      </c>
      <c r="K143" s="49">
        <f>MAX(D143:D147)</f>
        <v>332</v>
      </c>
    </row>
    <row r="144" spans="1:11" ht="14" x14ac:dyDescent="0.15">
      <c r="A144" s="65">
        <v>20</v>
      </c>
      <c r="B144" s="86" t="s">
        <v>98</v>
      </c>
      <c r="C144" s="56">
        <v>45729</v>
      </c>
      <c r="D144" s="90">
        <v>332</v>
      </c>
    </row>
    <row r="145" spans="1:11" ht="14" x14ac:dyDescent="0.15">
      <c r="A145" s="65">
        <v>20</v>
      </c>
      <c r="B145" s="86" t="s">
        <v>98</v>
      </c>
      <c r="C145" s="56">
        <v>45740</v>
      </c>
      <c r="D145" s="90">
        <v>141</v>
      </c>
    </row>
    <row r="146" spans="1:11" ht="14" x14ac:dyDescent="0.15">
      <c r="A146" s="65">
        <v>20</v>
      </c>
      <c r="B146" s="86" t="s">
        <v>98</v>
      </c>
      <c r="C146" s="56">
        <v>45740</v>
      </c>
      <c r="D146" s="90">
        <v>201</v>
      </c>
    </row>
    <row r="147" spans="1:11" ht="14" x14ac:dyDescent="0.15">
      <c r="A147" s="65">
        <v>20</v>
      </c>
      <c r="B147" s="86" t="s">
        <v>98</v>
      </c>
      <c r="C147" s="56">
        <v>45740</v>
      </c>
      <c r="D147" s="92">
        <v>134</v>
      </c>
    </row>
    <row r="148" spans="1:11" x14ac:dyDescent="0.15">
      <c r="A148" s="62"/>
      <c r="B148" s="63"/>
      <c r="C148" s="51"/>
      <c r="D148" s="91"/>
      <c r="E148" s="48"/>
      <c r="F148" s="51"/>
      <c r="G148" s="51"/>
      <c r="H148" s="51"/>
      <c r="I148" s="91"/>
      <c r="J148" s="51"/>
      <c r="K148" s="51"/>
    </row>
    <row r="149" spans="1:11" ht="14" x14ac:dyDescent="0.15">
      <c r="A149" s="65">
        <v>21</v>
      </c>
      <c r="B149" s="64" t="s">
        <v>101</v>
      </c>
      <c r="C149" s="56">
        <v>45722</v>
      </c>
      <c r="D149" s="92">
        <v>15.78</v>
      </c>
      <c r="F149" s="65">
        <v>21</v>
      </c>
      <c r="G149" s="64" t="s">
        <v>101</v>
      </c>
      <c r="H149">
        <f>COUNT(D149:D154)</f>
        <v>6</v>
      </c>
      <c r="I149" s="95">
        <f>AVERAGE(D149:D154)</f>
        <v>55.098333333333329</v>
      </c>
      <c r="J149" s="49">
        <f>MIN(D149:D154)</f>
        <v>14.25</v>
      </c>
      <c r="K149" s="49">
        <f>MAX(D149:D154)</f>
        <v>174</v>
      </c>
    </row>
    <row r="150" spans="1:11" ht="14" x14ac:dyDescent="0.15">
      <c r="A150" s="65">
        <v>21</v>
      </c>
      <c r="B150" s="64" t="s">
        <v>101</v>
      </c>
      <c r="C150" s="56">
        <v>45722</v>
      </c>
      <c r="D150" s="90">
        <v>21.97</v>
      </c>
    </row>
    <row r="151" spans="1:11" ht="14" x14ac:dyDescent="0.15">
      <c r="A151" s="65">
        <v>21</v>
      </c>
      <c r="B151" s="64" t="s">
        <v>101</v>
      </c>
      <c r="C151" s="56">
        <v>45722</v>
      </c>
      <c r="D151" s="90">
        <v>174</v>
      </c>
    </row>
    <row r="152" spans="1:11" ht="14" x14ac:dyDescent="0.15">
      <c r="A152" s="65">
        <v>21</v>
      </c>
      <c r="B152" s="64" t="s">
        <v>101</v>
      </c>
      <c r="C152" s="56">
        <v>45729</v>
      </c>
      <c r="D152" s="90">
        <v>55.26</v>
      </c>
    </row>
    <row r="153" spans="1:11" ht="14" x14ac:dyDescent="0.15">
      <c r="A153" s="65">
        <v>21</v>
      </c>
      <c r="B153" s="64" t="s">
        <v>101</v>
      </c>
      <c r="C153" s="56">
        <v>45740</v>
      </c>
      <c r="D153" s="89">
        <v>49.33</v>
      </c>
    </row>
    <row r="154" spans="1:11" ht="14" x14ac:dyDescent="0.15">
      <c r="A154" s="65">
        <v>21</v>
      </c>
      <c r="B154" s="64" t="s">
        <v>101</v>
      </c>
      <c r="C154" s="56">
        <v>45740</v>
      </c>
      <c r="D154" s="90">
        <v>14.25</v>
      </c>
    </row>
    <row r="155" spans="1:11" x14ac:dyDescent="0.15">
      <c r="A155" s="62"/>
      <c r="B155" s="63"/>
      <c r="C155" s="51"/>
      <c r="D155" s="91"/>
      <c r="E155" s="48"/>
      <c r="F155" s="51"/>
      <c r="G155" s="51"/>
      <c r="H155" s="51"/>
      <c r="I155" s="91"/>
      <c r="J155" s="51"/>
      <c r="K155" s="51"/>
    </row>
    <row r="156" spans="1:11" ht="14" x14ac:dyDescent="0.15">
      <c r="A156" s="65">
        <v>22</v>
      </c>
      <c r="B156" s="82" t="s">
        <v>104</v>
      </c>
      <c r="C156" s="56">
        <v>45722</v>
      </c>
      <c r="D156" s="95">
        <v>38.619999999999997</v>
      </c>
      <c r="F156" s="65">
        <v>22</v>
      </c>
      <c r="G156" s="82" t="s">
        <v>104</v>
      </c>
      <c r="H156">
        <f>COUNT(D156:D160)</f>
        <v>5</v>
      </c>
      <c r="I156" s="95">
        <f>AVERAGE(D156:D160)</f>
        <v>25.794</v>
      </c>
      <c r="J156" s="95">
        <f>MIN(D156:D160)</f>
        <v>15.94</v>
      </c>
      <c r="K156" s="95">
        <f>MAX(D156:D160)</f>
        <v>38.619999999999997</v>
      </c>
    </row>
    <row r="157" spans="1:11" ht="14" x14ac:dyDescent="0.15">
      <c r="A157" s="65">
        <v>22</v>
      </c>
      <c r="B157" s="82" t="s">
        <v>104</v>
      </c>
      <c r="C157" s="56">
        <v>45740</v>
      </c>
      <c r="D157" s="95">
        <v>28.03</v>
      </c>
    </row>
    <row r="158" spans="1:11" ht="14" x14ac:dyDescent="0.15">
      <c r="A158" s="65">
        <v>22</v>
      </c>
      <c r="B158" s="82" t="s">
        <v>104</v>
      </c>
      <c r="C158" s="56">
        <v>45740</v>
      </c>
      <c r="D158" s="95">
        <v>15.94</v>
      </c>
    </row>
    <row r="159" spans="1:11" ht="14" x14ac:dyDescent="0.15">
      <c r="A159" s="65">
        <v>22</v>
      </c>
      <c r="B159" s="82" t="s">
        <v>104</v>
      </c>
      <c r="C159" s="56">
        <v>45740</v>
      </c>
      <c r="D159" s="95">
        <v>16.850000000000001</v>
      </c>
    </row>
    <row r="160" spans="1:11" ht="14" x14ac:dyDescent="0.15">
      <c r="A160" s="65">
        <v>22</v>
      </c>
      <c r="B160" s="82" t="s">
        <v>104</v>
      </c>
      <c r="C160" s="56">
        <v>45740</v>
      </c>
      <c r="D160" s="95">
        <v>29.53</v>
      </c>
    </row>
    <row r="161" spans="1:11" x14ac:dyDescent="0.15">
      <c r="A161" s="62"/>
      <c r="B161" s="63"/>
      <c r="C161" s="51"/>
      <c r="D161" s="91"/>
      <c r="E161" s="48"/>
      <c r="F161" s="51"/>
      <c r="G161" s="51"/>
      <c r="H161" s="51"/>
      <c r="I161" s="91"/>
      <c r="J161" s="51"/>
      <c r="K161" s="51"/>
    </row>
    <row r="162" spans="1:11" ht="14" x14ac:dyDescent="0.15">
      <c r="B162" s="87" t="s">
        <v>192</v>
      </c>
      <c r="C162" s="56">
        <v>45722</v>
      </c>
      <c r="D162" s="95">
        <v>505</v>
      </c>
      <c r="G162" s="87" t="s">
        <v>192</v>
      </c>
      <c r="H162">
        <f>COUNT(D162:D165)</f>
        <v>4</v>
      </c>
      <c r="I162" s="95">
        <f>AVERAGE(D162:D165)</f>
        <v>539.25</v>
      </c>
      <c r="J162" s="95">
        <f>MIN(D162:D165)</f>
        <v>367</v>
      </c>
      <c r="K162" s="95">
        <f>MAX(D162:D165)</f>
        <v>786</v>
      </c>
    </row>
    <row r="163" spans="1:11" ht="14" x14ac:dyDescent="0.15">
      <c r="B163" s="87" t="s">
        <v>192</v>
      </c>
      <c r="C163" s="56">
        <v>45722</v>
      </c>
      <c r="D163" s="95">
        <v>367</v>
      </c>
    </row>
    <row r="164" spans="1:11" ht="14" x14ac:dyDescent="0.15">
      <c r="B164" s="87" t="s">
        <v>192</v>
      </c>
      <c r="C164" s="56">
        <v>45729</v>
      </c>
      <c r="D164" s="95">
        <v>786</v>
      </c>
    </row>
    <row r="165" spans="1:11" ht="14" x14ac:dyDescent="0.15">
      <c r="B165" s="87" t="s">
        <v>192</v>
      </c>
      <c r="C165" s="56">
        <v>45740</v>
      </c>
      <c r="D165" s="95">
        <v>499</v>
      </c>
    </row>
  </sheetData>
  <phoneticPr fontId="8" type="noConversion"/>
  <dataValidations count="1">
    <dataValidation allowBlank="1" showDropDown="1" sqref="B2:D2 C4:D4 D9:D18 G2 D20:D42 C43:D45 A52:D52 C46:C51 B53:C58 D54:D58 F52:K52 B74:B81 G60 A59:D59 G53 G67:G69 G42:G48 E39:F39 H39:K39 G32 G21 E31:K31 G9 E20:K20 E1 G39:G40 B69:C72 D70:D72 B60:D68 E55:E66 H59:K66 F59:G59 F61:G66 A73:B73 C78:D81 A82:K82 G74 C73:E77 H73:K77 F73:G73 F75:G77 G83 B83:D83 A84:K84 I78:S78 B85:D85 G85 B87:B90 A86:B86 G87 C86:E90 H86:K90 F86:G86 F88:G90 B91:D98 A99:C99 B103:D106 B100:C102 A107:K107 F99:K99 D99:E102 G100 B108:D108 G108 C162:C165 A109:B109 B110:B117 B118:D119 A120:K120 B121:D128 G121 A129:K129 B130:D133 A134:K134 G130 G143 B135:D141 G135 A142:K142 B143:D147 A148:K148 G149 A155:K155 B149:D154 C5:C42 B156:C160 A161:K161 G156 B3:B51 C3 C109:E117 H109:K117 F109:G109 F111:G117 G110" xr:uid="{5D47AAB0-4605-4BEA-B100-A24B0AE592A8}"/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43054-EB1C-4DAB-B700-61A02B3FE0E2}">
  <dimension ref="A1:F25"/>
  <sheetViews>
    <sheetView tabSelected="1" workbookViewId="0">
      <pane ySplit="1" topLeftCell="A2" activePane="bottomLeft" state="frozen"/>
      <selection pane="bottomLeft" sqref="A1:XFD1"/>
    </sheetView>
  </sheetViews>
  <sheetFormatPr baseColWidth="10" defaultColWidth="8.83203125" defaultRowHeight="13" x14ac:dyDescent="0.15"/>
  <cols>
    <col min="1" max="1" width="9.1640625" style="105"/>
    <col min="2" max="2" width="51.83203125" style="98" customWidth="1"/>
    <col min="4" max="4" width="12.5" customWidth="1"/>
    <col min="5" max="5" width="11.5" customWidth="1"/>
  </cols>
  <sheetData>
    <row r="1" spans="1:6" x14ac:dyDescent="0.15">
      <c r="A1" s="53" t="s">
        <v>180</v>
      </c>
      <c r="B1" s="97" t="s">
        <v>1</v>
      </c>
      <c r="C1" s="53" t="s">
        <v>183</v>
      </c>
      <c r="D1" s="96" t="s">
        <v>184</v>
      </c>
      <c r="E1" s="53" t="s">
        <v>185</v>
      </c>
      <c r="F1" s="53" t="s">
        <v>186</v>
      </c>
    </row>
    <row r="2" spans="1:6" x14ac:dyDescent="0.15">
      <c r="A2" s="58">
        <v>4</v>
      </c>
      <c r="B2" s="70" t="s">
        <v>20</v>
      </c>
      <c r="C2">
        <v>6</v>
      </c>
      <c r="D2" s="95">
        <v>191.83333333333334</v>
      </c>
      <c r="E2" s="49">
        <v>125</v>
      </c>
      <c r="F2" s="49">
        <v>309</v>
      </c>
    </row>
    <row r="3" spans="1:6" ht="14" x14ac:dyDescent="0.15">
      <c r="A3" s="65">
        <v>5</v>
      </c>
      <c r="B3" s="86" t="s">
        <v>25</v>
      </c>
      <c r="C3">
        <v>11</v>
      </c>
      <c r="D3" s="95">
        <v>62.384545454545453</v>
      </c>
      <c r="E3" s="49">
        <v>20.98</v>
      </c>
      <c r="F3" s="49">
        <v>121</v>
      </c>
    </row>
    <row r="4" spans="1:6" ht="14" x14ac:dyDescent="0.15">
      <c r="A4" s="65">
        <v>7</v>
      </c>
      <c r="B4" s="99" t="s">
        <v>32</v>
      </c>
      <c r="C4">
        <v>10</v>
      </c>
      <c r="D4" s="95">
        <v>190.1</v>
      </c>
      <c r="E4">
        <v>92</v>
      </c>
      <c r="F4">
        <v>347</v>
      </c>
    </row>
    <row r="5" spans="1:6" ht="14" x14ac:dyDescent="0.15">
      <c r="A5" s="65">
        <v>8</v>
      </c>
      <c r="B5" s="64" t="s">
        <v>36</v>
      </c>
      <c r="C5">
        <v>7</v>
      </c>
      <c r="D5" s="95">
        <v>136.00285714285715</v>
      </c>
      <c r="E5">
        <v>49.02</v>
      </c>
      <c r="F5">
        <v>314</v>
      </c>
    </row>
    <row r="6" spans="1:6" ht="14" x14ac:dyDescent="0.15">
      <c r="A6" s="65">
        <v>9</v>
      </c>
      <c r="B6" s="75" t="s">
        <v>40</v>
      </c>
      <c r="C6">
        <v>12</v>
      </c>
      <c r="D6" s="95">
        <v>28.38</v>
      </c>
      <c r="E6" s="49">
        <v>7.77</v>
      </c>
      <c r="F6" s="49">
        <v>56.31</v>
      </c>
    </row>
    <row r="7" spans="1:6" ht="14" x14ac:dyDescent="0.15">
      <c r="A7" s="65">
        <v>10</v>
      </c>
      <c r="B7" s="100" t="s">
        <v>44</v>
      </c>
      <c r="C7">
        <v>6</v>
      </c>
      <c r="D7" s="95">
        <v>78.551666666666662</v>
      </c>
      <c r="E7" s="49">
        <v>7.82</v>
      </c>
      <c r="F7" s="49">
        <v>332</v>
      </c>
    </row>
    <row r="8" spans="1:6" ht="14" x14ac:dyDescent="0.15">
      <c r="A8" s="65">
        <v>11</v>
      </c>
      <c r="B8" s="101" t="s">
        <v>49</v>
      </c>
      <c r="C8" s="61">
        <v>13</v>
      </c>
      <c r="D8" s="93">
        <v>147.94923076923075</v>
      </c>
      <c r="E8" s="54">
        <v>17.09</v>
      </c>
      <c r="F8" s="54">
        <v>348</v>
      </c>
    </row>
    <row r="9" spans="1:6" ht="14" x14ac:dyDescent="0.15">
      <c r="A9" s="53">
        <v>12</v>
      </c>
      <c r="B9" s="101" t="s">
        <v>56</v>
      </c>
      <c r="C9" s="61">
        <v>8</v>
      </c>
      <c r="D9" s="93">
        <v>153.5</v>
      </c>
      <c r="E9" s="54">
        <v>92</v>
      </c>
      <c r="F9" s="54">
        <v>245</v>
      </c>
    </row>
    <row r="10" spans="1:6" ht="14" x14ac:dyDescent="0.15">
      <c r="A10" s="53" t="s">
        <v>187</v>
      </c>
      <c r="B10" s="102" t="s">
        <v>58</v>
      </c>
      <c r="C10">
        <v>1</v>
      </c>
      <c r="D10" s="95">
        <v>99</v>
      </c>
      <c r="E10">
        <v>99</v>
      </c>
      <c r="F10">
        <v>99</v>
      </c>
    </row>
    <row r="11" spans="1:6" ht="14" x14ac:dyDescent="0.15">
      <c r="A11" s="53" t="s">
        <v>188</v>
      </c>
      <c r="B11" s="103" t="s">
        <v>60</v>
      </c>
      <c r="C11">
        <v>1</v>
      </c>
      <c r="D11" s="95">
        <v>468</v>
      </c>
      <c r="E11">
        <v>468</v>
      </c>
      <c r="F11">
        <v>468</v>
      </c>
    </row>
    <row r="12" spans="1:6" ht="14" x14ac:dyDescent="0.15">
      <c r="A12" s="65">
        <v>13</v>
      </c>
      <c r="B12" s="104" t="s">
        <v>189</v>
      </c>
      <c r="C12" s="61">
        <v>12</v>
      </c>
      <c r="D12" s="93">
        <v>237.75</v>
      </c>
      <c r="E12" s="54">
        <v>91</v>
      </c>
      <c r="F12" s="54">
        <v>449</v>
      </c>
    </row>
    <row r="13" spans="1:6" ht="14" x14ac:dyDescent="0.15">
      <c r="A13" s="65"/>
      <c r="B13" s="86" t="s">
        <v>190</v>
      </c>
      <c r="C13">
        <v>7</v>
      </c>
      <c r="D13" s="95">
        <v>1008.1428571428571</v>
      </c>
      <c r="E13" s="49">
        <v>484</v>
      </c>
      <c r="F13" s="49">
        <v>1797</v>
      </c>
    </row>
    <row r="14" spans="1:6" ht="14" x14ac:dyDescent="0.15">
      <c r="A14" s="53" t="s">
        <v>191</v>
      </c>
      <c r="B14" s="64" t="s">
        <v>68</v>
      </c>
      <c r="C14">
        <v>1</v>
      </c>
      <c r="D14" s="95">
        <v>522</v>
      </c>
      <c r="E14">
        <v>522</v>
      </c>
      <c r="F14">
        <v>522</v>
      </c>
    </row>
    <row r="15" spans="1:6" ht="14" x14ac:dyDescent="0.15">
      <c r="A15" s="65">
        <v>15</v>
      </c>
      <c r="B15" s="64" t="s">
        <v>82</v>
      </c>
      <c r="C15" s="61">
        <v>10</v>
      </c>
      <c r="D15" s="93">
        <v>153.79000000000002</v>
      </c>
      <c r="E15" s="93">
        <v>20.9</v>
      </c>
      <c r="F15" s="93">
        <v>271</v>
      </c>
    </row>
    <row r="16" spans="1:6" ht="14" x14ac:dyDescent="0.15">
      <c r="A16" s="65">
        <v>17</v>
      </c>
      <c r="B16" s="64" t="s">
        <v>89</v>
      </c>
      <c r="C16">
        <v>8</v>
      </c>
      <c r="D16" s="95">
        <v>71.835000000000008</v>
      </c>
      <c r="E16" s="49">
        <v>32.1</v>
      </c>
      <c r="F16" s="49">
        <v>168</v>
      </c>
    </row>
    <row r="17" spans="1:6" ht="14" x14ac:dyDescent="0.15">
      <c r="A17" s="65">
        <v>18</v>
      </c>
      <c r="B17" s="82" t="s">
        <v>92</v>
      </c>
      <c r="C17">
        <v>4</v>
      </c>
      <c r="D17" s="95">
        <v>58.365000000000002</v>
      </c>
      <c r="E17" s="49">
        <v>27.1</v>
      </c>
      <c r="F17" s="49">
        <v>80</v>
      </c>
    </row>
    <row r="18" spans="1:6" ht="14" x14ac:dyDescent="0.15">
      <c r="A18" s="65">
        <v>19</v>
      </c>
      <c r="B18" s="64" t="s">
        <v>95</v>
      </c>
      <c r="C18">
        <v>7</v>
      </c>
      <c r="D18" s="95">
        <v>165</v>
      </c>
      <c r="E18" s="49">
        <v>105</v>
      </c>
      <c r="F18" s="49">
        <v>281</v>
      </c>
    </row>
    <row r="19" spans="1:6" ht="14" x14ac:dyDescent="0.15">
      <c r="A19" s="65">
        <v>20</v>
      </c>
      <c r="B19" s="86" t="s">
        <v>98</v>
      </c>
      <c r="C19">
        <v>5</v>
      </c>
      <c r="D19" s="95">
        <v>207.2</v>
      </c>
      <c r="E19" s="49">
        <v>134</v>
      </c>
      <c r="F19" s="49">
        <v>332</v>
      </c>
    </row>
    <row r="20" spans="1:6" ht="14" x14ac:dyDescent="0.15">
      <c r="A20" s="65">
        <v>21</v>
      </c>
      <c r="B20" s="64" t="s">
        <v>101</v>
      </c>
      <c r="C20">
        <v>6</v>
      </c>
      <c r="D20" s="95">
        <v>55.098333333333329</v>
      </c>
      <c r="E20" s="49">
        <v>14.25</v>
      </c>
      <c r="F20" s="49">
        <v>174</v>
      </c>
    </row>
    <row r="21" spans="1:6" ht="14" x14ac:dyDescent="0.15">
      <c r="A21" s="65">
        <v>22</v>
      </c>
      <c r="B21" s="82" t="s">
        <v>104</v>
      </c>
      <c r="C21">
        <v>5</v>
      </c>
      <c r="D21" s="95">
        <v>25.794</v>
      </c>
      <c r="E21" s="95">
        <v>15.94</v>
      </c>
      <c r="F21" s="95">
        <v>38.619999999999997</v>
      </c>
    </row>
    <row r="22" spans="1:6" ht="14" x14ac:dyDescent="0.15">
      <c r="B22" s="87" t="s">
        <v>192</v>
      </c>
      <c r="C22">
        <v>4</v>
      </c>
      <c r="D22" s="95">
        <v>539.25</v>
      </c>
      <c r="E22" s="95">
        <v>367</v>
      </c>
      <c r="F22" s="95">
        <v>786</v>
      </c>
    </row>
    <row r="23" spans="1:6" x14ac:dyDescent="0.15">
      <c r="D23" s="95"/>
    </row>
    <row r="24" spans="1:6" x14ac:dyDescent="0.15">
      <c r="D24" s="95"/>
    </row>
    <row r="25" spans="1:6" x14ac:dyDescent="0.15">
      <c r="D25" s="95"/>
    </row>
  </sheetData>
  <dataValidations count="1">
    <dataValidation allowBlank="1" showDropDown="1" sqref="B16 B17 B19 B18 B20 B21 B2:B15 C8:F9 C12:F12 C15:F15" xr:uid="{329353E8-A460-447E-9254-495C3CF7578D}"/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28D31107AC314082142AC0C9AA48E5" ma:contentTypeVersion="12" ma:contentTypeDescription="Create a new document." ma:contentTypeScope="" ma:versionID="356fc77074c4e9b3165cfb02862bdd0a">
  <xsd:schema xmlns:xsd="http://www.w3.org/2001/XMLSchema" xmlns:xs="http://www.w3.org/2001/XMLSchema" xmlns:p="http://schemas.microsoft.com/office/2006/metadata/properties" xmlns:ns2="b6e2d132-e826-42d4-9819-3faae33e395b" xmlns:ns3="089918f1-47a9-4640-94e3-4265a671176c" targetNamespace="http://schemas.microsoft.com/office/2006/metadata/properties" ma:root="true" ma:fieldsID="3b7e4f7fd661bd0299289e522fae16b3" ns2:_="" ns3:_="">
    <xsd:import namespace="b6e2d132-e826-42d4-9819-3faae33e395b"/>
    <xsd:import namespace="089918f1-47a9-4640-94e3-4265a671176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e2d132-e826-42d4-9819-3faae33e39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10cc3ec6-88af-47af-a068-6d7a8d914e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9918f1-47a9-4640-94e3-4265a671176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ecbaee23-1f37-4829-9075-0a79375a03c4}" ma:internalName="TaxCatchAll" ma:showField="CatchAllData" ma:web="089918f1-47a9-4640-94e3-4265a671176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89918f1-47a9-4640-94e3-4265a671176c" xsi:nil="true"/>
    <lcf76f155ced4ddcb4097134ff3c332f xmlns="b6e2d132-e826-42d4-9819-3faae33e395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1529931-3974-4A75-9BD5-5E4746DB97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e2d132-e826-42d4-9819-3faae33e395b"/>
    <ds:schemaRef ds:uri="089918f1-47a9-4640-94e3-4265a671176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324C928-3202-42D6-B765-E97854C3D871}">
  <ds:schemaRefs>
    <ds:schemaRef ds:uri="http://schemas.microsoft.com/office/2006/metadata/properties"/>
    <ds:schemaRef ds:uri="http://schemas.microsoft.com/office/infopath/2007/PartnerControls"/>
    <ds:schemaRef ds:uri="089918f1-47a9-4640-94e3-4265a671176c"/>
    <ds:schemaRef ds:uri="b6e2d132-e826-42d4-9819-3faae33e395b"/>
  </ds:schemaRefs>
</ds:datastoreItem>
</file>

<file path=customXml/itemProps3.xml><?xml version="1.0" encoding="utf-8"?>
<ds:datastoreItem xmlns:ds="http://schemas.openxmlformats.org/officeDocument/2006/customXml" ds:itemID="{F1F20566-4D3A-4F6C-BC81-0E8D960CE2A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Stat Calcs</vt:lpstr>
      <vt:lpstr>Stat Summ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Payne, Jennifer</dc:creator>
  <cp:keywords/>
  <dc:description/>
  <cp:lastModifiedBy>Bowen, Chris</cp:lastModifiedBy>
  <cp:revision/>
  <dcterms:created xsi:type="dcterms:W3CDTF">2025-03-31T18:57:42Z</dcterms:created>
  <dcterms:modified xsi:type="dcterms:W3CDTF">2025-04-25T21:40:42Z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0x010100EF28D31107AC314082142AC0C9AA48E5</vt:lpwstr>
  </property>
  <property fmtid="{D5CDD505-2E9C-101B-9397-08002B2CF9AE}" pid="3" name="MediaServiceImageTags">
    <vt:lpwstr/>
  </property>
</Properties>
</file>